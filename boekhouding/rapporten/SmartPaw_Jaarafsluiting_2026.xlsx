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envatting" sheetId="1" state="visible" r:id="rId3"/>
    <sheet name="Voorraad" sheetId="2" state="visible" r:id="rId4"/>
    <sheet name="Leningen" sheetId="3" state="visible" r:id="rId5"/>
    <sheet name="Investeringen" sheetId="4" state="visible" r:id="rId6"/>
    <sheet name="Niet-aftrekbaar" sheetId="5" state="visible" r:id="rId7"/>
    <sheet name="Invoer-btw" sheetId="6" state="visible" r:id="rId8"/>
    <sheet name="Te regelen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<sst xmlns="http://schemas.openxmlformats.org/spreadsheetml/2006/main" count="150" uniqueCount="128">
  <si>
    <t xml:space="preserve">SmartPaw VOF — jaarafsluiting 2026 (voorbereiding voor Pro-count, stand 2026-10-25)</t>
  </si>
  <si>
    <t xml:space="preserve">Voorraad aan landed cost (telling 2026-10-25)</t>
  </si>
  <si>
    <t xml:space="preserve">Schulden aan financiers (KBC, Creazy, Kaydee, rekening-courant Henri)</t>
  </si>
  <si>
    <t xml:space="preserve">Kas KBC (laatste stand)</t>
  </si>
  <si>
    <t xml:space="preserve">Restaurant/representatie 2026 (deels niet aftrekbaar)</t>
  </si>
  <si>
    <t xml:space="preserve">Mogelijke investeringen te beoordelen (aantal)</t>
  </si>
  <si>
    <t xml:space="preserve">Tabbladen: Voorraad · Leningen · Investeringen · Niet-aftrekbaar · Invoer-btw · Te regelen</t>
  </si>
  <si>
    <t xml:space="preserve">Voorraad bij Widem aan landed cost — telling 2026-10-25 (op 31/12 opnieuw tellen; container FurVac 750 komt ±26/11 binnen)</t>
  </si>
  <si>
    <t xml:space="preserve">Product</t>
  </si>
  <si>
    <t xml:space="preserve">Stuks</t>
  </si>
  <si>
    <t xml:space="preserve">Kostprijs/st</t>
  </si>
  <si>
    <t xml:space="preserve">Waarde</t>
  </si>
  <si>
    <t xml:space="preserve">Bron kostprijs</t>
  </si>
  <si>
    <t xml:space="preserve">2-in-1 Flat Brush</t>
  </si>
  <si>
    <t xml:space="preserve">batch 750</t>
  </si>
  <si>
    <t xml:space="preserve">Anti-Static Brush</t>
  </si>
  <si>
    <t xml:space="preserve">AquaPaw 2,5L</t>
  </si>
  <si>
    <t xml:space="preserve">Shopify-kostprijs (inbreng, order jul 2025)</t>
  </si>
  <si>
    <t xml:space="preserve">ChromeFeeder 2L</t>
  </si>
  <si>
    <t xml:space="preserve">inbreng okt 2025</t>
  </si>
  <si>
    <t xml:space="preserve">Droogzakjes</t>
  </si>
  <si>
    <t xml:space="preserve">Shopify-kostprijs</t>
  </si>
  <si>
    <t xml:space="preserve">Deshedding Brush</t>
  </si>
  <si>
    <t xml:space="preserve">FeedMate 5L met camera</t>
  </si>
  <si>
    <t xml:space="preserve">batch Jess mrt-apr 2026</t>
  </si>
  <si>
    <t xml:space="preserve">FeedMate 5L zonder camera</t>
  </si>
  <si>
    <t xml:space="preserve">Filter FlowMate (12-pack)</t>
  </si>
  <si>
    <t xml:space="preserve">luchtvracht DDP okt 2026</t>
  </si>
  <si>
    <t xml:space="preserve">Filter HydroBuddy</t>
  </si>
  <si>
    <t xml:space="preserve">Filter AquaPaw</t>
  </si>
  <si>
    <t xml:space="preserve">FlowMate Pro 3,5L</t>
  </si>
  <si>
    <t xml:space="preserve">All-in-one FurVac</t>
  </si>
  <si>
    <t xml:space="preserve">batch 750: toestel + 6 opzetstukken + stand + HEPA</t>
  </si>
  <si>
    <t xml:space="preserve">FurVac basistoestel</t>
  </si>
  <si>
    <t xml:space="preserve">batch 750 (landed incl. vracht + douane)</t>
  </si>
  <si>
    <t xml:space="preserve">HEPA-filter (2-pack)</t>
  </si>
  <si>
    <t xml:space="preserve">batch 500 (2 × €0,66)</t>
  </si>
  <si>
    <t xml:space="preserve">HydroBuddy 4L</t>
  </si>
  <si>
    <t xml:space="preserve">Massage Comb</t>
  </si>
  <si>
    <t xml:space="preserve">Motor FlowMate</t>
  </si>
  <si>
    <t xml:space="preserve">Motor HydroBuddy</t>
  </si>
  <si>
    <t xml:space="preserve">Needle Comb</t>
  </si>
  <si>
    <t xml:space="preserve">Storage Stand</t>
  </si>
  <si>
    <t xml:space="preserve">Titan 15L</t>
  </si>
  <si>
    <t xml:space="preserve">Trimmer</t>
  </si>
  <si>
    <t xml:space="preserve">Totaal</t>
  </si>
  <si>
    <t xml:space="preserve">Nog toe te voegen op 31/12: goederen onderweg (betaald maar niet ontvangen), filters luchtvracht DDP, voorraad bij Henri/kantoor.</t>
  </si>
  <si>
    <t xml:space="preserve">Leningen en rekening-courant op 2026-10-25 (uit de bank)</t>
  </si>
  <si>
    <t xml:space="preserve">Lening</t>
  </si>
  <si>
    <t xml:space="preserve">Opgenomen</t>
  </si>
  <si>
    <t xml:space="preserve">Afgelost</t>
  </si>
  <si>
    <t xml:space="preserve">Saldo</t>
  </si>
  <si>
    <t xml:space="preserve">Rente betaald</t>
  </si>
  <si>
    <t xml:space="preserve">Uitleg / te bevestigen</t>
  </si>
  <si>
    <t xml:space="preserve">KBC investeringskrediet 420-695088</t>
  </si>
  <si>
    <t xml:space="preserve">36 mnd vanaf 15/02/2026, rente ±4,1% (bevestigen met kredietvoorstel); kapitaal en rente apart uit de maandelijkse betalingen</t>
  </si>
  <si>
    <t xml:space="preserve">Creazy CommV (vennootschap Kaydee)</t>
  </si>
  <si>
    <t xml:space="preserve">24/06 €10.000 lening + 25/05 €435,72 (reden?) ; 22/01 €1.176,42 = terugstorting btw die SmartPaw op 18/01 voor Creazy betaalde (verrekend)</t>
  </si>
  <si>
    <t xml:space="preserve">Lening Kaydee</t>
  </si>
  <si>
    <t xml:space="preserve">€9.000 op 05/02 (Revolut), terug op 18/02. Nieuwe lening met intrest? → bevestigen</t>
  </si>
  <si>
    <t xml:space="preserve">Rekening-courant Henri (voorraad uit inbreng jan 2024)</t>
  </si>
  <si>
    <t xml:space="preserve">oprichting / inbreng; voorwaarden, rente?</t>
  </si>
  <si>
    <t xml:space="preserve">Totaal schulden aan financiers</t>
  </si>
  <si>
    <t xml:space="preserve">KBC-krediet: betalingen (kapitaal / rente)</t>
  </si>
  <si>
    <t xml:space="preserve">Datum</t>
  </si>
  <si>
    <t xml:space="preserve">Kapitaal</t>
  </si>
  <si>
    <t xml:space="preserve">Rente</t>
  </si>
  <si>
    <t xml:space="preserve">2026-03-15</t>
  </si>
  <si>
    <t xml:space="preserve">2026-04-15</t>
  </si>
  <si>
    <t xml:space="preserve">2026-05-17</t>
  </si>
  <si>
    <t xml:space="preserve">2026-06-15</t>
  </si>
  <si>
    <t xml:space="preserve">2026-07-15</t>
  </si>
  <si>
    <t xml:space="preserve">2026-08-16</t>
  </si>
  <si>
    <t xml:space="preserve">2026-09-15</t>
  </si>
  <si>
    <t xml:space="preserve">2026-10-15</t>
  </si>
  <si>
    <t xml:space="preserve">Uitgaven ≥ €250 die mogelijk een investering zijn (af te schrijven i.p.v. kost) — Pro-count beslist</t>
  </si>
  <si>
    <t xml:space="preserve">Tegenpartij</t>
  </si>
  <si>
    <t xml:space="preserve">Bedrag incl. btw</t>
  </si>
  <si>
    <t xml:space="preserve">Categorie</t>
  </si>
  <si>
    <t xml:space="preserve">Investering? (ja/nee)</t>
  </si>
  <si>
    <t xml:space="preserve">2026-08-25</t>
  </si>
  <si>
    <t xml:space="preserve">Advancemedia</t>
  </si>
  <si>
    <t xml:space="preserve">Marketing &amp; content</t>
  </si>
  <si>
    <t xml:space="preserve">Restaurant, representatie en reizen: btw niet aftrekbaar; kosten slechts deels aftrekbaar (restaurant 69%) — bewijs: met wie en waarom</t>
  </si>
  <si>
    <t xml:space="preserve">Met wie / waarom</t>
  </si>
  <si>
    <t xml:space="preserve">2026-01-17</t>
  </si>
  <si>
    <t xml:space="preserve">PARKING SINT-MICHIELS</t>
  </si>
  <si>
    <t xml:space="preserve">CAFE CHARLATAN</t>
  </si>
  <si>
    <t xml:space="preserve">2026-01-19</t>
  </si>
  <si>
    <t xml:space="preserve">Borze Cafe</t>
  </si>
  <si>
    <t xml:space="preserve">2026-07-23</t>
  </si>
  <si>
    <t xml:space="preserve">2026-08-10</t>
  </si>
  <si>
    <t xml:space="preserve">2026-08-13</t>
  </si>
  <si>
    <t xml:space="preserve">2026-08-18</t>
  </si>
  <si>
    <t xml:space="preserve">2026-09-13</t>
  </si>
  <si>
    <t xml:space="preserve">2026-09-20</t>
  </si>
  <si>
    <t xml:space="preserve">Invoeraangiftes met verlegging (art. 41): maatstaf vak 87, btw vak 57 én 59 (netto 0). Ramingen tot de invoeraangifte er is.</t>
  </si>
  <si>
    <t xml:space="preserve">Aangifte</t>
  </si>
  <si>
    <t xml:space="preserve">Dossier</t>
  </si>
  <si>
    <t xml:space="preserve">Omschrijving</t>
  </si>
  <si>
    <t xml:space="preserve">Maatstaf</t>
  </si>
  <si>
    <t xml:space="preserve">Btw 21%</t>
  </si>
  <si>
    <t xml:space="preserve">Status</t>
  </si>
  <si>
    <t xml:space="preserve">2026-04-27</t>
  </si>
  <si>
    <t xml:space="preserve">WID202512550</t>
  </si>
  <si>
    <t xml:space="preserve">FurVac 500 (Compass)</t>
  </si>
  <si>
    <t xml:space="preserve">raming</t>
  </si>
  <si>
    <t xml:space="preserve">2026-06-09</t>
  </si>
  <si>
    <t xml:space="preserve">WID202601049</t>
  </si>
  <si>
    <t xml:space="preserve">Fonteinen &amp; voerbakken (Jess)</t>
  </si>
  <si>
    <t xml:space="preserve">WID202607353</t>
  </si>
  <si>
    <t xml:space="preserve">FurVac 750 – luchtvracht accessoires</t>
  </si>
  <si>
    <t xml:space="preserve">goederenwaarde onbekend – invoeraangifte opvragen bij Widem</t>
  </si>
  <si>
    <t xml:space="preserve">2026-11-19</t>
  </si>
  <si>
    <t xml:space="preserve">WID202608397</t>
  </si>
  <si>
    <t xml:space="preserve">FurVac 750 – zeevracht</t>
  </si>
  <si>
    <t xml:space="preserve">verwacht (ETA ±19/11)</t>
  </si>
  <si>
    <t xml:space="preserve">Open punten voor de jaarafsluiting</t>
  </si>
  <si>
    <t xml:space="preserve">☐ Voorraadtelling op 31/12 bij Widem (aantallen bevestigen) + goederen onderweg.</t>
  </si>
  <si>
    <t xml:space="preserve">☐ Facturen van 2026 die pas in 2027 betaald worden (Widem december, Compass-saldo FurVac 750 ±$5.249, Pro-count jaarafsluiting).</t>
  </si>
  <si>
    <t xml:space="preserve">☐ Btw Q3 (€6.873,24) en Q4 nog te betalen → schuld op 31/12.</t>
  </si>
  <si>
    <t xml:space="preserve">☐ Rekening-courant Henri €14.000 en lening Creazy €10.000: voorwaarden en rente op papier zetten.</t>
  </si>
  <si>
    <t xml:space="preserve">☐ Lening Kaydee: bestaat er nog een lening met intrest (aflossing vanaf eind nov)? Bedrag en contract.</t>
  </si>
  <si>
    <t xml:space="preserve">☐ Creazy €435,72 (25/05): waarvoor?</t>
  </si>
  <si>
    <t xml:space="preserve">☐ Investeringen (tabblad): wat wordt afgeschreven?</t>
  </si>
  <si>
    <t xml:space="preserve">☐ Restaurantkosten: per ticket noteren met wie en waarom.</t>
  </si>
  <si>
    <t xml:space="preserve">☐ Kredietkaart 2025 (±€7.870) zonder detail: kaartuittreksels 2025 aan Pro-count.</t>
  </si>
  <si>
    <t xml:space="preserve">☐ Verdeling winst/verlies 70/30 of 50/50 vanaf welke datum.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</si>
</sst>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&quot; €&quot;;\-#,##0.00&quot; €&quot;;\–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F6E5C"/>
        <bgColor rgb="FF00808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5C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f aca="false">Voorraad!D27</f>
        <v>21561.46</v>
      </c>
    </row>
    <row r="4" customFormat="false" ht="15" hidden="false" customHeight="false" outlineLevel="0" collapsed="false">
      <c r="A4" s="2" t="s">
        <v>2</v>
      </c>
      <c r="B4" s="3" t="n">
        <f aca="false">Leningen!D8</f>
        <v>41754.18</v>
      </c>
    </row>
    <row r="5" customFormat="false" ht="15" hidden="false" customHeight="false" outlineLevel="0" collapsed="false">
      <c r="A5" s="2" t="s">
        <v>3</v>
      </c>
      <c r="B5" s="3" t="n">
        <v>1529.1</v>
      </c>
    </row>
    <row r="6" customFormat="false" ht="15" hidden="false" customHeight="false" outlineLevel="0" collapsed="false">
      <c r="A6" s="2" t="s">
        <v>4</v>
      </c>
      <c r="B6" s="3" t="n">
        <f aca="false">'Niet-aftrekbaar'!C13</f>
        <v>616.35</v>
      </c>
    </row>
    <row r="7" customFormat="false" ht="15" hidden="false" customHeight="false" outlineLevel="0" collapsed="false">
      <c r="A7" s="2" t="s">
        <v>5</v>
      </c>
      <c r="B7" s="4" t="n">
        <v>1</v>
      </c>
    </row>
    <row r="9" customFormat="false" ht="15" hidden="false" customHeight="false" outlineLevel="0" collapsed="false">
      <c r="A9" s="5" t="s">
        <v>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14"/>
    <col collapsed="false" customWidth="true" hidden="false" outlineLevel="0" max="5" min="5" style="0" width="60"/>
  </cols>
  <sheetData>
    <row r="1" customFormat="false" ht="15" hidden="false" customHeight="false" outlineLevel="0" collapsed="false">
      <c r="A1" s="4" t="s">
        <v>7</v>
      </c>
    </row>
    <row r="3" customFormat="false" ht="15" hidden="false" customHeight="false" outlineLevel="0" collapsed="false">
      <c r="A3" s="6" t="s">
        <v>8</v>
      </c>
      <c r="B3" s="6" t="s">
        <v>9</v>
      </c>
      <c r="C3" s="6" t="s">
        <v>10</v>
      </c>
      <c r="D3" s="6" t="s">
        <v>11</v>
      </c>
      <c r="E3" s="6" t="s">
        <v>12</v>
      </c>
    </row>
    <row r="4" customFormat="false" ht="15" hidden="false" customHeight="false" outlineLevel="0" collapsed="false">
      <c r="A4" s="2" t="s">
        <v>13</v>
      </c>
      <c r="B4" s="2" t="n">
        <v>199</v>
      </c>
      <c r="C4" s="7" t="n">
        <v>0.89</v>
      </c>
      <c r="D4" s="7" t="n">
        <f aca="false">MAX(B4,0)*C4</f>
        <v>177.11</v>
      </c>
      <c r="E4" s="2" t="s">
        <v>14</v>
      </c>
    </row>
    <row r="5" customFormat="false" ht="15" hidden="false" customHeight="false" outlineLevel="0" collapsed="false">
      <c r="A5" s="2" t="s">
        <v>15</v>
      </c>
      <c r="B5" s="2" t="n">
        <v>166</v>
      </c>
      <c r="C5" s="7" t="n">
        <v>2.23</v>
      </c>
      <c r="D5" s="7" t="n">
        <f aca="false">MAX(B5,0)*C5</f>
        <v>370.18</v>
      </c>
      <c r="E5" s="2" t="s">
        <v>14</v>
      </c>
    </row>
    <row r="6" customFormat="false" ht="15" hidden="false" customHeight="false" outlineLevel="0" collapsed="false">
      <c r="A6" s="2" t="s">
        <v>16</v>
      </c>
      <c r="B6" s="2" t="n">
        <v>57</v>
      </c>
      <c r="C6" s="7" t="n">
        <v>27.42</v>
      </c>
      <c r="D6" s="7" t="n">
        <f aca="false">MAX(B6,0)*C6</f>
        <v>1562.94</v>
      </c>
      <c r="E6" s="2" t="s">
        <v>17</v>
      </c>
    </row>
    <row r="7" customFormat="false" ht="15" hidden="false" customHeight="false" outlineLevel="0" collapsed="false">
      <c r="A7" s="2" t="s">
        <v>18</v>
      </c>
      <c r="B7" s="2" t="n">
        <v>32</v>
      </c>
      <c r="C7" s="7" t="n">
        <v>30</v>
      </c>
      <c r="D7" s="7" t="n">
        <f aca="false">MAX(B7,0)*C7</f>
        <v>960</v>
      </c>
      <c r="E7" s="2" t="s">
        <v>19</v>
      </c>
    </row>
    <row r="8" customFormat="false" ht="15" hidden="false" customHeight="false" outlineLevel="0" collapsed="false">
      <c r="A8" s="2" t="s">
        <v>20</v>
      </c>
      <c r="B8" s="2" t="n">
        <v>55</v>
      </c>
      <c r="C8" s="7" t="n">
        <v>2.35</v>
      </c>
      <c r="D8" s="7" t="n">
        <f aca="false">MAX(B8,0)*C8</f>
        <v>129.25</v>
      </c>
      <c r="E8" s="2" t="s">
        <v>21</v>
      </c>
    </row>
    <row r="9" customFormat="false" ht="15" hidden="false" customHeight="false" outlineLevel="0" collapsed="false">
      <c r="A9" s="2" t="s">
        <v>22</v>
      </c>
      <c r="B9" s="2" t="n">
        <v>153</v>
      </c>
      <c r="C9" s="7" t="n">
        <v>2.23</v>
      </c>
      <c r="D9" s="7" t="n">
        <f aca="false">MAX(B9,0)*C9</f>
        <v>341.19</v>
      </c>
      <c r="E9" s="2" t="s">
        <v>14</v>
      </c>
    </row>
    <row r="10" customFormat="false" ht="15" hidden="false" customHeight="false" outlineLevel="0" collapsed="false">
      <c r="A10" s="2" t="s">
        <v>23</v>
      </c>
      <c r="B10" s="2" t="n">
        <v>226</v>
      </c>
      <c r="C10" s="7" t="n">
        <v>33.16</v>
      </c>
      <c r="D10" s="7" t="n">
        <f aca="false">MAX(B10,0)*C10</f>
        <v>7494.16</v>
      </c>
      <c r="E10" s="2" t="s">
        <v>24</v>
      </c>
    </row>
    <row r="11" customFormat="false" ht="15" hidden="false" customHeight="false" outlineLevel="0" collapsed="false">
      <c r="A11" s="2" t="s">
        <v>25</v>
      </c>
      <c r="B11" s="2" t="n">
        <v>249</v>
      </c>
      <c r="C11" s="7" t="n">
        <v>25.54</v>
      </c>
      <c r="D11" s="7" t="n">
        <f aca="false">MAX(B11,0)*C11</f>
        <v>6359.46</v>
      </c>
      <c r="E11" s="2" t="s">
        <v>24</v>
      </c>
    </row>
    <row r="12" customFormat="false" ht="15" hidden="false" customHeight="false" outlineLevel="0" collapsed="false">
      <c r="A12" s="2" t="s">
        <v>26</v>
      </c>
      <c r="B12" s="2" t="n">
        <v>3</v>
      </c>
      <c r="C12" s="7" t="n">
        <v>2.13</v>
      </c>
      <c r="D12" s="7" t="n">
        <f aca="false">MAX(B12,0)*C12</f>
        <v>6.39</v>
      </c>
      <c r="E12" s="2" t="s">
        <v>27</v>
      </c>
    </row>
    <row r="13" customFormat="false" ht="15" hidden="false" customHeight="false" outlineLevel="0" collapsed="false">
      <c r="A13" s="2" t="s">
        <v>28</v>
      </c>
      <c r="B13" s="2" t="n">
        <v>-1</v>
      </c>
      <c r="C13" s="7" t="n">
        <v>2.57</v>
      </c>
      <c r="D13" s="7" t="n">
        <f aca="false">MAX(B13,0)*C13</f>
        <v>0</v>
      </c>
      <c r="E13" s="2" t="s">
        <v>24</v>
      </c>
    </row>
    <row r="14" customFormat="false" ht="15" hidden="false" customHeight="false" outlineLevel="0" collapsed="false">
      <c r="A14" s="2" t="s">
        <v>29</v>
      </c>
      <c r="B14" s="2" t="n">
        <v>3</v>
      </c>
      <c r="C14" s="7" t="n">
        <v>2.3</v>
      </c>
      <c r="D14" s="7" t="n">
        <f aca="false">MAX(B14,0)*C14</f>
        <v>6.9</v>
      </c>
      <c r="E14" s="2" t="s">
        <v>21</v>
      </c>
    </row>
    <row r="15" customFormat="false" ht="15" hidden="false" customHeight="false" outlineLevel="0" collapsed="false">
      <c r="A15" s="2" t="s">
        <v>30</v>
      </c>
      <c r="B15" s="2" t="n">
        <v>83</v>
      </c>
      <c r="C15" s="7" t="n">
        <v>9.21</v>
      </c>
      <c r="D15" s="7" t="n">
        <f aca="false">MAX(B15,0)*C15</f>
        <v>764.43</v>
      </c>
      <c r="E15" s="2" t="s">
        <v>24</v>
      </c>
    </row>
    <row r="16" customFormat="false" ht="15" hidden="false" customHeight="false" outlineLevel="0" collapsed="false">
      <c r="A16" s="2" t="s">
        <v>31</v>
      </c>
      <c r="B16" s="2" t="n">
        <v>1</v>
      </c>
      <c r="C16" s="7" t="n">
        <v>40.8</v>
      </c>
      <c r="D16" s="7" t="n">
        <f aca="false">MAX(B16,0)*C16</f>
        <v>40.8</v>
      </c>
      <c r="E16" s="2" t="s">
        <v>32</v>
      </c>
    </row>
    <row r="17" customFormat="false" ht="15" hidden="false" customHeight="false" outlineLevel="0" collapsed="false">
      <c r="A17" s="2" t="s">
        <v>33</v>
      </c>
      <c r="B17" s="2" t="n">
        <v>27</v>
      </c>
      <c r="C17" s="7" t="n">
        <v>19.4</v>
      </c>
      <c r="D17" s="7" t="n">
        <f aca="false">MAX(B17,0)*C17</f>
        <v>523.8</v>
      </c>
      <c r="E17" s="2" t="s">
        <v>34</v>
      </c>
    </row>
    <row r="18" customFormat="false" ht="15" hidden="false" customHeight="false" outlineLevel="0" collapsed="false">
      <c r="A18" s="2" t="s">
        <v>35</v>
      </c>
      <c r="B18" s="2" t="n">
        <v>182</v>
      </c>
      <c r="C18" s="7" t="n">
        <v>1.32</v>
      </c>
      <c r="D18" s="7" t="n">
        <f aca="false">MAX(B18,0)*C18</f>
        <v>240.24</v>
      </c>
      <c r="E18" s="2" t="s">
        <v>36</v>
      </c>
    </row>
    <row r="19" customFormat="false" ht="15" hidden="false" customHeight="false" outlineLevel="0" collapsed="false">
      <c r="A19" s="2" t="s">
        <v>37</v>
      </c>
      <c r="B19" s="2" t="n">
        <v>29</v>
      </c>
      <c r="C19" s="7" t="n">
        <v>13.86</v>
      </c>
      <c r="D19" s="7" t="n">
        <f aca="false">MAX(B19,0)*C19</f>
        <v>401.94</v>
      </c>
      <c r="E19" s="2" t="s">
        <v>24</v>
      </c>
    </row>
    <row r="20" customFormat="false" ht="15" hidden="false" customHeight="false" outlineLevel="0" collapsed="false">
      <c r="A20" s="2" t="s">
        <v>38</v>
      </c>
      <c r="B20" s="2" t="n">
        <v>133</v>
      </c>
      <c r="C20" s="7" t="n">
        <v>0.93</v>
      </c>
      <c r="D20" s="7" t="n">
        <f aca="false">MAX(B20,0)*C20</f>
        <v>123.69</v>
      </c>
      <c r="E20" s="2" t="s">
        <v>14</v>
      </c>
    </row>
    <row r="21" customFormat="false" ht="15" hidden="false" customHeight="false" outlineLevel="0" collapsed="false">
      <c r="A21" s="2" t="s">
        <v>39</v>
      </c>
      <c r="B21" s="2" t="n">
        <v>46</v>
      </c>
      <c r="C21" s="7" t="n">
        <v>2.68</v>
      </c>
      <c r="D21" s="7" t="n">
        <f aca="false">MAX(B21,0)*C21</f>
        <v>123.28</v>
      </c>
      <c r="E21" s="2" t="s">
        <v>24</v>
      </c>
    </row>
    <row r="22" customFormat="false" ht="15" hidden="false" customHeight="false" outlineLevel="0" collapsed="false">
      <c r="A22" s="2" t="s">
        <v>40</v>
      </c>
      <c r="B22" s="2" t="n">
        <v>42</v>
      </c>
      <c r="C22" s="7" t="n">
        <v>6.43</v>
      </c>
      <c r="D22" s="7" t="n">
        <f aca="false">MAX(B22,0)*C22</f>
        <v>270.06</v>
      </c>
      <c r="E22" s="2" t="s">
        <v>24</v>
      </c>
    </row>
    <row r="23" customFormat="false" ht="15" hidden="false" customHeight="false" outlineLevel="0" collapsed="false">
      <c r="A23" s="2" t="s">
        <v>41</v>
      </c>
      <c r="B23" s="2" t="n">
        <v>120</v>
      </c>
      <c r="C23" s="7" t="n">
        <v>2.35</v>
      </c>
      <c r="D23" s="7" t="n">
        <f aca="false">MAX(B23,0)*C23</f>
        <v>282</v>
      </c>
      <c r="E23" s="2" t="s">
        <v>14</v>
      </c>
    </row>
    <row r="24" customFormat="false" ht="15" hidden="false" customHeight="false" outlineLevel="0" collapsed="false">
      <c r="A24" s="2" t="s">
        <v>42</v>
      </c>
      <c r="B24" s="2" t="n">
        <v>50</v>
      </c>
      <c r="C24" s="7" t="n">
        <v>1.86</v>
      </c>
      <c r="D24" s="7" t="n">
        <f aca="false">MAX(B24,0)*C24</f>
        <v>93</v>
      </c>
      <c r="E24" s="2" t="s">
        <v>14</v>
      </c>
    </row>
    <row r="25" customFormat="false" ht="15" hidden="false" customHeight="false" outlineLevel="0" collapsed="false">
      <c r="A25" s="2" t="s">
        <v>43</v>
      </c>
      <c r="B25" s="2" t="n">
        <v>2</v>
      </c>
      <c r="C25" s="7" t="n">
        <v>47.52</v>
      </c>
      <c r="D25" s="7" t="n">
        <f aca="false">MAX(B25,0)*C25</f>
        <v>95.04</v>
      </c>
      <c r="E25" s="2" t="s">
        <v>24</v>
      </c>
    </row>
    <row r="26" customFormat="false" ht="15" hidden="false" customHeight="false" outlineLevel="0" collapsed="false">
      <c r="A26" s="2" t="s">
        <v>44</v>
      </c>
      <c r="B26" s="2" t="n">
        <v>140</v>
      </c>
      <c r="C26" s="7" t="n">
        <v>8.54</v>
      </c>
      <c r="D26" s="7" t="n">
        <f aca="false">MAX(B26,0)*C26</f>
        <v>1195.6</v>
      </c>
      <c r="E26" s="2" t="s">
        <v>14</v>
      </c>
    </row>
    <row r="27" customFormat="false" ht="15" hidden="false" customHeight="false" outlineLevel="0" collapsed="false">
      <c r="A27" s="4" t="s">
        <v>45</v>
      </c>
      <c r="D27" s="3" t="n">
        <f aca="false">SUM(D4:D26)</f>
        <v>21561.46</v>
      </c>
    </row>
    <row r="29" customFormat="false" ht="15" hidden="false" customHeight="false" outlineLevel="0" collapsed="false">
      <c r="A29" s="5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5" hidden="false" customHeight="false" outlineLevel="0" collapsed="false">
      <c r="A1" s="4" t="s">
        <v>47</v>
      </c>
    </row>
    <row r="3" customFormat="false" ht="26.85" hidden="false" customHeight="false" outlineLevel="0" collapsed="false">
      <c r="A3" s="6" t="s">
        <v>48</v>
      </c>
      <c r="B3" s="6" t="s">
        <v>49</v>
      </c>
      <c r="C3" s="6" t="s">
        <v>50</v>
      </c>
      <c r="D3" s="6" t="s">
        <v>51</v>
      </c>
      <c r="E3" s="6" t="s">
        <v>52</v>
      </c>
      <c r="F3" s="6" t="s">
        <v>53</v>
      </c>
    </row>
    <row r="4" customFormat="false" ht="15" hidden="false" customHeight="false" outlineLevel="0" collapsed="false">
      <c r="A4" s="2" t="s">
        <v>54</v>
      </c>
      <c r="B4" s="7" t="n">
        <v>19947</v>
      </c>
      <c r="C4" s="7" t="n">
        <v>2628.54</v>
      </c>
      <c r="D4" s="7" t="n">
        <v>17318.46</v>
      </c>
      <c r="E4" s="7" t="n">
        <v>509.66</v>
      </c>
      <c r="F4" s="2" t="s">
        <v>55</v>
      </c>
    </row>
    <row r="5" customFormat="false" ht="15" hidden="false" customHeight="false" outlineLevel="0" collapsed="false">
      <c r="A5" s="2" t="s">
        <v>56</v>
      </c>
      <c r="B5" s="7" t="n">
        <v>11612.14</v>
      </c>
      <c r="C5" s="7" t="n">
        <v>1176.42</v>
      </c>
      <c r="D5" s="7" t="n">
        <v>10435.72</v>
      </c>
      <c r="E5" s="7" t="n">
        <v>0</v>
      </c>
      <c r="F5" s="2" t="s">
        <v>57</v>
      </c>
    </row>
    <row r="6" customFormat="false" ht="15" hidden="false" customHeight="false" outlineLevel="0" collapsed="false">
      <c r="A6" s="2" t="s">
        <v>58</v>
      </c>
      <c r="B6" s="7" t="n">
        <v>9000</v>
      </c>
      <c r="C6" s="7" t="n">
        <v>9000</v>
      </c>
      <c r="D6" s="7" t="n">
        <v>0</v>
      </c>
      <c r="E6" s="7" t="n">
        <v>0</v>
      </c>
      <c r="F6" s="2" t="s">
        <v>59</v>
      </c>
    </row>
    <row r="7" customFormat="false" ht="15" hidden="false" customHeight="false" outlineLevel="0" collapsed="false">
      <c r="A7" s="2" t="s">
        <v>60</v>
      </c>
      <c r="B7" s="7" t="n">
        <v>14000</v>
      </c>
      <c r="C7" s="7" t="n">
        <v>0</v>
      </c>
      <c r="D7" s="7" t="n">
        <v>14000</v>
      </c>
      <c r="E7" s="7" t="n">
        <v>0</v>
      </c>
      <c r="F7" s="2" t="s">
        <v>61</v>
      </c>
    </row>
    <row r="8" customFormat="false" ht="15" hidden="false" customHeight="false" outlineLevel="0" collapsed="false">
      <c r="A8" s="4" t="s">
        <v>62</v>
      </c>
      <c r="D8" s="3" t="n">
        <f aca="false">SUM(D4:D7)</f>
        <v>41754.18</v>
      </c>
    </row>
    <row r="10" customFormat="false" ht="15" hidden="false" customHeight="false" outlineLevel="0" collapsed="false">
      <c r="A10" s="4" t="s">
        <v>63</v>
      </c>
    </row>
    <row r="11" customFormat="false" ht="15" hidden="false" customHeight="false" outlineLevel="0" collapsed="false">
      <c r="A11" s="6" t="s">
        <v>64</v>
      </c>
      <c r="B11" s="6" t="s">
        <v>65</v>
      </c>
      <c r="C11" s="6" t="s">
        <v>66</v>
      </c>
    </row>
    <row r="12" customFormat="false" ht="15" hidden="false" customHeight="false" outlineLevel="0" collapsed="false">
      <c r="A12" s="2" t="s">
        <v>67</v>
      </c>
      <c r="B12" s="7" t="n">
        <v>0</v>
      </c>
      <c r="C12" s="7" t="n">
        <v>60.99</v>
      </c>
    </row>
    <row r="13" customFormat="false" ht="15" hidden="false" customHeight="false" outlineLevel="0" collapsed="false">
      <c r="A13" s="2" t="s">
        <v>68</v>
      </c>
      <c r="B13" s="7" t="n">
        <v>0</v>
      </c>
      <c r="C13" s="7" t="n">
        <v>67.52</v>
      </c>
    </row>
    <row r="14" customFormat="false" ht="15" hidden="false" customHeight="false" outlineLevel="0" collapsed="false">
      <c r="A14" s="2" t="s">
        <v>69</v>
      </c>
      <c r="B14" s="7" t="n">
        <v>0</v>
      </c>
      <c r="C14" s="7" t="n">
        <v>65.34</v>
      </c>
    </row>
    <row r="15" customFormat="false" ht="15" hidden="false" customHeight="false" outlineLevel="0" collapsed="false">
      <c r="A15" s="2" t="s">
        <v>70</v>
      </c>
      <c r="B15" s="7" t="n">
        <v>521.35</v>
      </c>
      <c r="C15" s="7" t="n">
        <v>67.52</v>
      </c>
    </row>
    <row r="16" customFormat="false" ht="15" hidden="false" customHeight="false" outlineLevel="0" collapsed="false">
      <c r="A16" s="2" t="s">
        <v>71</v>
      </c>
      <c r="B16" s="7" t="n">
        <v>525.23</v>
      </c>
      <c r="C16" s="7" t="n">
        <v>63.64</v>
      </c>
    </row>
    <row r="17" customFormat="false" ht="15" hidden="false" customHeight="false" outlineLevel="0" collapsed="false">
      <c r="A17" s="2" t="s">
        <v>72</v>
      </c>
      <c r="B17" s="7" t="n">
        <v>524.89</v>
      </c>
      <c r="C17" s="7" t="n">
        <v>63.98</v>
      </c>
    </row>
    <row r="18" customFormat="false" ht="15" hidden="false" customHeight="false" outlineLevel="0" collapsed="false">
      <c r="A18" s="2" t="s">
        <v>73</v>
      </c>
      <c r="B18" s="7" t="n">
        <v>526.67</v>
      </c>
      <c r="C18" s="7" t="n">
        <v>62.2</v>
      </c>
    </row>
    <row r="19" customFormat="false" ht="15" hidden="false" customHeight="false" outlineLevel="0" collapsed="false">
      <c r="A19" s="2" t="s">
        <v>74</v>
      </c>
      <c r="B19" s="7" t="n">
        <v>530.4</v>
      </c>
      <c r="C19" s="7" t="n">
        <v>58.47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32"/>
    <col collapsed="false" customWidth="true" hidden="false" outlineLevel="0" max="5" min="5" style="0" width="20"/>
  </cols>
  <sheetData>
    <row r="1" customFormat="false" ht="15" hidden="false" customHeight="false" outlineLevel="0" collapsed="false">
      <c r="A1" s="4" t="s">
        <v>75</v>
      </c>
    </row>
    <row r="3" customFormat="false" ht="26.85" hidden="false" customHeight="false" outlineLevel="0" collapsed="false">
      <c r="A3" s="6" t="s">
        <v>64</v>
      </c>
      <c r="B3" s="6" t="s">
        <v>76</v>
      </c>
      <c r="C3" s="6" t="s">
        <v>77</v>
      </c>
      <c r="D3" s="6" t="s">
        <v>78</v>
      </c>
      <c r="E3" s="6" t="s">
        <v>79</v>
      </c>
    </row>
    <row r="4" customFormat="false" ht="15" hidden="false" customHeight="false" outlineLevel="0" collapsed="false">
      <c r="A4" s="2" t="s">
        <v>80</v>
      </c>
      <c r="B4" s="2" t="s">
        <v>81</v>
      </c>
      <c r="C4" s="7" t="n">
        <v>3650</v>
      </c>
      <c r="D4" s="2" t="s">
        <v>82</v>
      </c>
      <c r="E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50"/>
  </cols>
  <sheetData>
    <row r="1" customFormat="false" ht="15" hidden="false" customHeight="false" outlineLevel="0" collapsed="false">
      <c r="A1" s="4" t="s">
        <v>83</v>
      </c>
    </row>
    <row r="3" customFormat="false" ht="26.85" hidden="false" customHeight="false" outlineLevel="0" collapsed="false">
      <c r="A3" s="6" t="s">
        <v>64</v>
      </c>
      <c r="B3" s="6" t="s">
        <v>76</v>
      </c>
      <c r="C3" s="6" t="s">
        <v>77</v>
      </c>
      <c r="D3" s="6" t="s">
        <v>84</v>
      </c>
    </row>
    <row r="4" customFormat="false" ht="15" hidden="false" customHeight="false" outlineLevel="0" collapsed="false">
      <c r="A4" s="2" t="s">
        <v>85</v>
      </c>
      <c r="B4" s="2" t="s">
        <v>86</v>
      </c>
      <c r="C4" s="7" t="n">
        <v>4.5</v>
      </c>
      <c r="D4" s="2"/>
    </row>
    <row r="5" customFormat="false" ht="15" hidden="false" customHeight="false" outlineLevel="0" collapsed="false">
      <c r="A5" s="2" t="s">
        <v>85</v>
      </c>
      <c r="B5" s="2" t="s">
        <v>87</v>
      </c>
      <c r="C5" s="7" t="n">
        <v>6</v>
      </c>
      <c r="D5" s="2"/>
    </row>
    <row r="6" customFormat="false" ht="15" hidden="false" customHeight="false" outlineLevel="0" collapsed="false">
      <c r="A6" s="2" t="s">
        <v>88</v>
      </c>
      <c r="B6" s="2" t="s">
        <v>89</v>
      </c>
      <c r="C6" s="7" t="n">
        <v>91</v>
      </c>
      <c r="D6" s="2"/>
    </row>
    <row r="7" customFormat="false" ht="15" hidden="false" customHeight="false" outlineLevel="0" collapsed="false">
      <c r="A7" s="2" t="s">
        <v>90</v>
      </c>
      <c r="B7" s="2"/>
      <c r="C7" s="7" t="n">
        <v>15</v>
      </c>
      <c r="D7" s="2"/>
    </row>
    <row r="8" customFormat="false" ht="15" hidden="false" customHeight="false" outlineLevel="0" collapsed="false">
      <c r="A8" s="2" t="s">
        <v>91</v>
      </c>
      <c r="B8" s="2"/>
      <c r="C8" s="7" t="n">
        <v>94.25</v>
      </c>
      <c r="D8" s="2"/>
    </row>
    <row r="9" customFormat="false" ht="15" hidden="false" customHeight="false" outlineLevel="0" collapsed="false">
      <c r="A9" s="2" t="s">
        <v>92</v>
      </c>
      <c r="B9" s="2"/>
      <c r="C9" s="7" t="n">
        <v>27</v>
      </c>
      <c r="D9" s="2"/>
    </row>
    <row r="10" customFormat="false" ht="15" hidden="false" customHeight="false" outlineLevel="0" collapsed="false">
      <c r="A10" s="2" t="s">
        <v>93</v>
      </c>
      <c r="B10" s="2"/>
      <c r="C10" s="7" t="n">
        <v>249</v>
      </c>
      <c r="D10" s="2"/>
    </row>
    <row r="11" customFormat="false" ht="15" hidden="false" customHeight="false" outlineLevel="0" collapsed="false">
      <c r="A11" s="2" t="s">
        <v>94</v>
      </c>
      <c r="B11" s="2"/>
      <c r="C11" s="7" t="n">
        <v>121.5</v>
      </c>
      <c r="D11" s="2"/>
    </row>
    <row r="12" customFormat="false" ht="15" hidden="false" customHeight="false" outlineLevel="0" collapsed="false">
      <c r="A12" s="2" t="s">
        <v>95</v>
      </c>
      <c r="B12" s="2"/>
      <c r="C12" s="7" t="n">
        <v>8.1</v>
      </c>
      <c r="D12" s="2"/>
    </row>
    <row r="13" customFormat="false" ht="15" hidden="false" customHeight="false" outlineLevel="0" collapsed="false">
      <c r="A13" s="4" t="s">
        <v>45</v>
      </c>
      <c r="C13" s="3" t="n">
        <f aca="false">SUM(C4:C12)</f>
        <v>616.35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5" min="4" style="0" width="14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4" t="s">
        <v>96</v>
      </c>
    </row>
    <row r="3" customFormat="false" ht="15" hidden="false" customHeight="false" outlineLevel="0" collapsed="false">
      <c r="A3" s="6" t="s">
        <v>97</v>
      </c>
      <c r="B3" s="6" t="s">
        <v>98</v>
      </c>
      <c r="C3" s="6" t="s">
        <v>99</v>
      </c>
      <c r="D3" s="6" t="s">
        <v>100</v>
      </c>
      <c r="E3" s="6" t="s">
        <v>101</v>
      </c>
      <c r="F3" s="6" t="s">
        <v>102</v>
      </c>
    </row>
    <row r="4" customFormat="false" ht="15" hidden="false" customHeight="false" outlineLevel="0" collapsed="false">
      <c r="A4" s="2" t="s">
        <v>103</v>
      </c>
      <c r="B4" s="2" t="s">
        <v>104</v>
      </c>
      <c r="C4" s="2" t="s">
        <v>105</v>
      </c>
      <c r="D4" s="7" t="n">
        <v>15204.54</v>
      </c>
      <c r="E4" s="7" t="n">
        <v>3192.95</v>
      </c>
      <c r="F4" s="2" t="s">
        <v>106</v>
      </c>
    </row>
    <row r="5" customFormat="false" ht="15" hidden="false" customHeight="false" outlineLevel="0" collapsed="false">
      <c r="A5" s="2" t="s">
        <v>107</v>
      </c>
      <c r="B5" s="2" t="s">
        <v>108</v>
      </c>
      <c r="C5" s="2" t="s">
        <v>109</v>
      </c>
      <c r="D5" s="7" t="n">
        <v>18635.54</v>
      </c>
      <c r="E5" s="7" t="n">
        <v>3913.46</v>
      </c>
      <c r="F5" s="2" t="s">
        <v>106</v>
      </c>
    </row>
    <row r="6" customFormat="false" ht="15" hidden="false" customHeight="false" outlineLevel="0" collapsed="false">
      <c r="A6" s="2" t="s">
        <v>92</v>
      </c>
      <c r="B6" s="2" t="s">
        <v>110</v>
      </c>
      <c r="C6" s="2" t="s">
        <v>111</v>
      </c>
      <c r="D6" s="7"/>
      <c r="E6" s="7"/>
      <c r="F6" s="2" t="s">
        <v>112</v>
      </c>
    </row>
    <row r="7" customFormat="false" ht="15" hidden="false" customHeight="false" outlineLevel="0" collapsed="false">
      <c r="A7" s="2" t="s">
        <v>113</v>
      </c>
      <c r="B7" s="2" t="s">
        <v>114</v>
      </c>
      <c r="C7" s="2" t="s">
        <v>115</v>
      </c>
      <c r="D7" s="7"/>
      <c r="E7" s="7"/>
      <c r="F7" s="2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5" hidden="false" customHeight="false" outlineLevel="0" collapsed="false">
      <c r="A1" s="4" t="s">
        <v>117</v>
      </c>
    </row>
    <row r="3" customFormat="false" ht="15" hidden="false" customHeight="false" outlineLevel="0" collapsed="false">
      <c r="A3" s="2" t="s">
        <v>118</v>
      </c>
    </row>
    <row r="4" customFormat="false" ht="15" hidden="false" customHeight="false" outlineLevel="0" collapsed="false">
      <c r="A4" s="2" t="s">
        <v>119</v>
      </c>
    </row>
    <row r="5" customFormat="false" ht="15" hidden="false" customHeight="false" outlineLevel="0" collapsed="false">
      <c r="A5" s="2" t="s">
        <v>120</v>
      </c>
    </row>
    <row r="6" customFormat="false" ht="15" hidden="false" customHeight="false" outlineLevel="0" collapsed="false">
      <c r="A6" s="2" t="s">
        <v>121</v>
      </c>
    </row>
    <row r="7" customFormat="false" ht="15" hidden="false" customHeight="false" outlineLevel="0" collapsed="false">
      <c r="A7" s="2" t="s">
        <v>122</v>
      </c>
    </row>
    <row r="8" customFormat="false" ht="15" hidden="false" customHeight="false" outlineLevel="0" collapsed="false">
      <c r="A8" s="2" t="s">
        <v>123</v>
      </c>
    </row>
    <row r="9" customFormat="false" ht="15" hidden="false" customHeight="false" outlineLevel="0" collapsed="false">
      <c r="A9" s="2" t="s">
        <v>124</v>
      </c>
    </row>
    <row r="10" customFormat="false" ht="15" hidden="false" customHeight="false" outlineLevel="0" collapsed="false">
      <c r="A10" s="2" t="s">
        <v>125</v>
      </c>
    </row>
    <row r="11" customFormat="false" ht="15" hidden="false" customHeight="false" outlineLevel="0" collapsed="false">
      <c r="A11" s="2" t="s">
        <v>126</v>
      </c>
    </row>
    <row r="12" customFormat="false" ht="15" hidden="false" customHeight="false" outlineLevel="0" collapsed="false">
      <c r="A12" s="2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2026-10-25T17:06:22Z</dcterms:created>
  <dc:creator>openpyxl</dc:creator>
  <dc:description/>
  <dc:language>en-US</dc:language>
  <cp:lastModifiedBy/>
  <dcterms:modified xsi:type="dcterms:W3CDTF">2026-10-25T17:06:22Z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