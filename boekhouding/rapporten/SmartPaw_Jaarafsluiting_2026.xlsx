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Voorraad" sheetId="2" state="visible" r:id="rId2"/>
    <sheet name="Leningen" sheetId="3" state="visible" r:id="rId3"/>
    <sheet name="Investeringen" sheetId="4" state="visible" r:id="rId4"/>
    <sheet name="Niet-aftrekbaar" sheetId="5" state="visible" r:id="rId5"/>
    <sheet name="Invoer-btw" sheetId="6" state="visible" r:id="rId6"/>
    <sheet name="Te regel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;-#,##0.00 €;&quot;–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b val="1"/>
      <color rgb="00FFFFFF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F6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wrapText="1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SmartPaw VOF — jaarafsluiting 2026 (voorbereiding voor Pro-count, stand 2026-10-27)</t>
        </is>
      </c>
    </row>
    <row r="3">
      <c r="A3" s="2" t="inlineStr">
        <is>
          <t>Voorraad aan landed cost (telling 2026-10-25)</t>
        </is>
      </c>
      <c r="B3" s="3">
        <f>Voorraad!D27</f>
        <v/>
      </c>
    </row>
    <row r="4">
      <c r="A4" s="2" t="inlineStr">
        <is>
          <t>Schulden aan financiers (KBC, Creazy, Kaydee, rekening-courant Henri)</t>
        </is>
      </c>
      <c r="B4" s="3">
        <f>Leningen!D8</f>
        <v/>
      </c>
    </row>
    <row r="5">
      <c r="A5" s="2" t="inlineStr">
        <is>
          <t>Kas KBC (laatste stand)</t>
        </is>
      </c>
      <c r="B5" s="3" t="n">
        <v>2163.58</v>
      </c>
    </row>
    <row r="6">
      <c r="A6" s="2" t="inlineStr">
        <is>
          <t>Restaurant/representatie 2026 (deels niet aftrekbaar)</t>
        </is>
      </c>
      <c r="B6" s="3">
        <f>'Niet-aftrekbaar'!C13</f>
        <v/>
      </c>
    </row>
    <row r="7">
      <c r="A7" s="2" t="inlineStr">
        <is>
          <t>Mogelijke investeringen te beoordelen (aantal)</t>
        </is>
      </c>
      <c r="B7" s="4" t="n">
        <v>1</v>
      </c>
    </row>
    <row r="9">
      <c r="A9" s="5" t="inlineStr">
        <is>
          <t>Tabbladen: Voorraad · Leningen · Investeringen · Niet-aftrekbaar · Invoer-btw · Te regelen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4" customWidth="1" min="4" max="4"/>
    <col width="60" customWidth="1" min="5" max="5"/>
  </cols>
  <sheetData>
    <row r="1">
      <c r="A1" s="4" t="inlineStr">
        <is>
          <t>Voorraad bij Widem aan landed cost — telling 2026-10-25 (op 31/12 opnieuw tellen; container FurVac 750 komt ±26/11 binnen)</t>
        </is>
      </c>
    </row>
    <row r="3">
      <c r="A3" s="6" t="inlineStr">
        <is>
          <t>Product</t>
        </is>
      </c>
      <c r="B3" s="6" t="inlineStr">
        <is>
          <t>Stuks</t>
        </is>
      </c>
      <c r="C3" s="6" t="inlineStr">
        <is>
          <t>Kostprijs/st</t>
        </is>
      </c>
      <c r="D3" s="6" t="inlineStr">
        <is>
          <t>Waarde</t>
        </is>
      </c>
      <c r="E3" s="6" t="inlineStr">
        <is>
          <t>Bron kostprijs</t>
        </is>
      </c>
    </row>
    <row r="4">
      <c r="A4" s="2" t="inlineStr">
        <is>
          <t>2-in-1 Flat Brush</t>
        </is>
      </c>
      <c r="B4" s="2" t="n">
        <v>199</v>
      </c>
      <c r="C4" s="7" t="n">
        <v>0.89</v>
      </c>
      <c r="D4" s="7">
        <f>MAX(B4,0)*C4</f>
        <v/>
      </c>
      <c r="E4" s="2" t="inlineStr">
        <is>
          <t>batch 750</t>
        </is>
      </c>
    </row>
    <row r="5">
      <c r="A5" s="2" t="inlineStr">
        <is>
          <t>Anti-Static Brush</t>
        </is>
      </c>
      <c r="B5" s="2" t="n">
        <v>166</v>
      </c>
      <c r="C5" s="7" t="n">
        <v>2.23</v>
      </c>
      <c r="D5" s="7">
        <f>MAX(B5,0)*C5</f>
        <v/>
      </c>
      <c r="E5" s="2" t="inlineStr">
        <is>
          <t>batch 750</t>
        </is>
      </c>
    </row>
    <row r="6">
      <c r="A6" s="2" t="inlineStr">
        <is>
          <t>AquaPaw 2,5L</t>
        </is>
      </c>
      <c r="B6" s="2" t="n">
        <v>57</v>
      </c>
      <c r="C6" s="7" t="n">
        <v>27.42</v>
      </c>
      <c r="D6" s="7">
        <f>MAX(B6,0)*C6</f>
        <v/>
      </c>
      <c r="E6" s="2" t="inlineStr">
        <is>
          <t>Shopify-kostprijs (inbreng, order jul 2025)</t>
        </is>
      </c>
    </row>
    <row r="7">
      <c r="A7" s="2" t="inlineStr">
        <is>
          <t>ChromeFeeder 2L</t>
        </is>
      </c>
      <c r="B7" s="2" t="n">
        <v>32</v>
      </c>
      <c r="C7" s="7" t="n">
        <v>30</v>
      </c>
      <c r="D7" s="7">
        <f>MAX(B7,0)*C7</f>
        <v/>
      </c>
      <c r="E7" s="2" t="inlineStr">
        <is>
          <t>inbreng okt 2025</t>
        </is>
      </c>
    </row>
    <row r="8">
      <c r="A8" s="2" t="inlineStr">
        <is>
          <t>Droogzakjes</t>
        </is>
      </c>
      <c r="B8" s="2" t="n">
        <v>55</v>
      </c>
      <c r="C8" s="7" t="n">
        <v>2.35</v>
      </c>
      <c r="D8" s="7">
        <f>MAX(B8,0)*C8</f>
        <v/>
      </c>
      <c r="E8" s="2" t="inlineStr">
        <is>
          <t>Shopify-kostprijs</t>
        </is>
      </c>
    </row>
    <row r="9">
      <c r="A9" s="2" t="inlineStr">
        <is>
          <t>Deshedding Brush</t>
        </is>
      </c>
      <c r="B9" s="2" t="n">
        <v>153</v>
      </c>
      <c r="C9" s="7" t="n">
        <v>2.23</v>
      </c>
      <c r="D9" s="7">
        <f>MAX(B9,0)*C9</f>
        <v/>
      </c>
      <c r="E9" s="2" t="inlineStr">
        <is>
          <t>batch 750</t>
        </is>
      </c>
    </row>
    <row r="10">
      <c r="A10" s="2" t="inlineStr">
        <is>
          <t>FeedMate 5L met camera</t>
        </is>
      </c>
      <c r="B10" s="2" t="n">
        <v>226</v>
      </c>
      <c r="C10" s="7" t="n">
        <v>33.16</v>
      </c>
      <c r="D10" s="7">
        <f>MAX(B10,0)*C10</f>
        <v/>
      </c>
      <c r="E10" s="2" t="inlineStr">
        <is>
          <t>batch Jess mrt-apr 2026</t>
        </is>
      </c>
    </row>
    <row r="11">
      <c r="A11" s="2" t="inlineStr">
        <is>
          <t>FeedMate 5L zonder camera</t>
        </is>
      </c>
      <c r="B11" s="2" t="n">
        <v>249</v>
      </c>
      <c r="C11" s="7" t="n">
        <v>25.54</v>
      </c>
      <c r="D11" s="7">
        <f>MAX(B11,0)*C11</f>
        <v/>
      </c>
      <c r="E11" s="2" t="inlineStr">
        <is>
          <t>batch Jess mrt-apr 2026</t>
        </is>
      </c>
    </row>
    <row r="12">
      <c r="A12" s="2" t="inlineStr">
        <is>
          <t>Filter FlowMate (12-pack)</t>
        </is>
      </c>
      <c r="B12" s="2" t="n">
        <v>3</v>
      </c>
      <c r="C12" s="7" t="n">
        <v>2.13</v>
      </c>
      <c r="D12" s="7">
        <f>MAX(B12,0)*C12</f>
        <v/>
      </c>
      <c r="E12" s="2" t="inlineStr">
        <is>
          <t>luchtvracht DDP okt 2026</t>
        </is>
      </c>
    </row>
    <row r="13">
      <c r="A13" s="2" t="inlineStr">
        <is>
          <t>Filter HydroBuddy</t>
        </is>
      </c>
      <c r="B13" s="2" t="n">
        <v>-1</v>
      </c>
      <c r="C13" s="7" t="n">
        <v>2.57</v>
      </c>
      <c r="D13" s="7">
        <f>MAX(B13,0)*C13</f>
        <v/>
      </c>
      <c r="E13" s="2" t="inlineStr">
        <is>
          <t>batch Jess mrt-apr 2026</t>
        </is>
      </c>
    </row>
    <row r="14">
      <c r="A14" s="2" t="inlineStr">
        <is>
          <t>Filter AquaPaw</t>
        </is>
      </c>
      <c r="B14" s="2" t="n">
        <v>3</v>
      </c>
      <c r="C14" s="7" t="n">
        <v>2.3</v>
      </c>
      <c r="D14" s="7">
        <f>MAX(B14,0)*C14</f>
        <v/>
      </c>
      <c r="E14" s="2" t="inlineStr">
        <is>
          <t>Shopify-kostprijs</t>
        </is>
      </c>
    </row>
    <row r="15">
      <c r="A15" s="2" t="inlineStr">
        <is>
          <t>FlowMate Pro 3,5L</t>
        </is>
      </c>
      <c r="B15" s="2" t="n">
        <v>83</v>
      </c>
      <c r="C15" s="7" t="n">
        <v>9.210000000000001</v>
      </c>
      <c r="D15" s="7">
        <f>MAX(B15,0)*C15</f>
        <v/>
      </c>
      <c r="E15" s="2" t="inlineStr">
        <is>
          <t>batch Jess mrt-apr 2026</t>
        </is>
      </c>
    </row>
    <row r="16">
      <c r="A16" s="2" t="inlineStr">
        <is>
          <t>All-in-one FurVac</t>
        </is>
      </c>
      <c r="B16" s="2" t="n">
        <v>1</v>
      </c>
      <c r="C16" s="7" t="n">
        <v>40.8</v>
      </c>
      <c r="D16" s="7">
        <f>MAX(B16,0)*C16</f>
        <v/>
      </c>
      <c r="E16" s="2" t="inlineStr">
        <is>
          <t>batch 750: toestel + 6 opzetstukken + stand + HEPA</t>
        </is>
      </c>
    </row>
    <row r="17">
      <c r="A17" s="2" t="inlineStr">
        <is>
          <t>FurVac basistoestel</t>
        </is>
      </c>
      <c r="B17" s="2" t="n">
        <v>27</v>
      </c>
      <c r="C17" s="7" t="n">
        <v>19.4</v>
      </c>
      <c r="D17" s="7">
        <f>MAX(B17,0)*C17</f>
        <v/>
      </c>
      <c r="E17" s="2" t="inlineStr">
        <is>
          <t>batch 750 (landed incl. vracht + douane)</t>
        </is>
      </c>
    </row>
    <row r="18">
      <c r="A18" s="2" t="inlineStr">
        <is>
          <t>HEPA-filter (2-pack)</t>
        </is>
      </c>
      <c r="B18" s="2" t="n">
        <v>182</v>
      </c>
      <c r="C18" s="7" t="n">
        <v>1.32</v>
      </c>
      <c r="D18" s="7">
        <f>MAX(B18,0)*C18</f>
        <v/>
      </c>
      <c r="E18" s="2" t="inlineStr">
        <is>
          <t>batch 500 (2 × €0,66)</t>
        </is>
      </c>
    </row>
    <row r="19">
      <c r="A19" s="2" t="inlineStr">
        <is>
          <t>HydroBuddy 4L</t>
        </is>
      </c>
      <c r="B19" s="2" t="n">
        <v>29</v>
      </c>
      <c r="C19" s="7" t="n">
        <v>13.86</v>
      </c>
      <c r="D19" s="7">
        <f>MAX(B19,0)*C19</f>
        <v/>
      </c>
      <c r="E19" s="2" t="inlineStr">
        <is>
          <t>batch Jess mrt-apr 2026</t>
        </is>
      </c>
    </row>
    <row r="20">
      <c r="A20" s="2" t="inlineStr">
        <is>
          <t>Massage Comb</t>
        </is>
      </c>
      <c r="B20" s="2" t="n">
        <v>133</v>
      </c>
      <c r="C20" s="7" t="n">
        <v>0.93</v>
      </c>
      <c r="D20" s="7">
        <f>MAX(B20,0)*C20</f>
        <v/>
      </c>
      <c r="E20" s="2" t="inlineStr">
        <is>
          <t>batch 750</t>
        </is>
      </c>
    </row>
    <row r="21">
      <c r="A21" s="2" t="inlineStr">
        <is>
          <t>Motor FlowMate</t>
        </is>
      </c>
      <c r="B21" s="2" t="n">
        <v>46</v>
      </c>
      <c r="C21" s="7" t="n">
        <v>2.68</v>
      </c>
      <c r="D21" s="7">
        <f>MAX(B21,0)*C21</f>
        <v/>
      </c>
      <c r="E21" s="2" t="inlineStr">
        <is>
          <t>batch Jess mrt-apr 2026</t>
        </is>
      </c>
    </row>
    <row r="22">
      <c r="A22" s="2" t="inlineStr">
        <is>
          <t>Motor HydroBuddy</t>
        </is>
      </c>
      <c r="B22" s="2" t="n">
        <v>42</v>
      </c>
      <c r="C22" s="7" t="n">
        <v>6.43</v>
      </c>
      <c r="D22" s="7">
        <f>MAX(B22,0)*C22</f>
        <v/>
      </c>
      <c r="E22" s="2" t="inlineStr">
        <is>
          <t>batch Jess mrt-apr 2026</t>
        </is>
      </c>
    </row>
    <row r="23">
      <c r="A23" s="2" t="inlineStr">
        <is>
          <t>Needle Comb</t>
        </is>
      </c>
      <c r="B23" s="2" t="n">
        <v>120</v>
      </c>
      <c r="C23" s="7" t="n">
        <v>2.35</v>
      </c>
      <c r="D23" s="7">
        <f>MAX(B23,0)*C23</f>
        <v/>
      </c>
      <c r="E23" s="2" t="inlineStr">
        <is>
          <t>batch 750</t>
        </is>
      </c>
    </row>
    <row r="24">
      <c r="A24" s="2" t="inlineStr">
        <is>
          <t>Storage Stand</t>
        </is>
      </c>
      <c r="B24" s="2" t="n">
        <v>50</v>
      </c>
      <c r="C24" s="7" t="n">
        <v>1.86</v>
      </c>
      <c r="D24" s="7">
        <f>MAX(B24,0)*C24</f>
        <v/>
      </c>
      <c r="E24" s="2" t="inlineStr">
        <is>
          <t>batch 750</t>
        </is>
      </c>
    </row>
    <row r="25">
      <c r="A25" s="2" t="inlineStr">
        <is>
          <t>Titan 15L</t>
        </is>
      </c>
      <c r="B25" s="2" t="n">
        <v>2</v>
      </c>
      <c r="C25" s="7" t="n">
        <v>47.52</v>
      </c>
      <c r="D25" s="7">
        <f>MAX(B25,0)*C25</f>
        <v/>
      </c>
      <c r="E25" s="2" t="inlineStr">
        <is>
          <t>batch Jess mrt-apr 2026</t>
        </is>
      </c>
    </row>
    <row r="26">
      <c r="A26" s="2" t="inlineStr">
        <is>
          <t>Trimmer</t>
        </is>
      </c>
      <c r="B26" s="2" t="n">
        <v>140</v>
      </c>
      <c r="C26" s="7" t="n">
        <v>8.539999999999999</v>
      </c>
      <c r="D26" s="7">
        <f>MAX(B26,0)*C26</f>
        <v/>
      </c>
      <c r="E26" s="2" t="inlineStr">
        <is>
          <t>batch 750</t>
        </is>
      </c>
    </row>
    <row r="27">
      <c r="A27" s="4" t="inlineStr">
        <is>
          <t>Totaal</t>
        </is>
      </c>
      <c r="D27" s="3">
        <f>SUM(D4:D26)</f>
        <v/>
      </c>
    </row>
    <row r="29">
      <c r="A29" s="5" t="inlineStr">
        <is>
          <t>Nog toe te voegen op 31/12: goederen onderweg (betaald maar niet ontvangen), filters luchtvracht DDP, voorraad bij Henri/kantoor.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80" customWidth="1" min="6" max="6"/>
  </cols>
  <sheetData>
    <row r="1">
      <c r="A1" s="4" t="inlineStr">
        <is>
          <t>Leningen en rekening-courant op 2026-10-27 (uit de bank)</t>
        </is>
      </c>
    </row>
    <row r="3">
      <c r="A3" s="6" t="inlineStr">
        <is>
          <t>Lening</t>
        </is>
      </c>
      <c r="B3" s="6" t="inlineStr">
        <is>
          <t>Opgenomen</t>
        </is>
      </c>
      <c r="C3" s="6" t="inlineStr">
        <is>
          <t>Afgelost</t>
        </is>
      </c>
      <c r="D3" s="6" t="inlineStr">
        <is>
          <t>Saldo</t>
        </is>
      </c>
      <c r="E3" s="6" t="inlineStr">
        <is>
          <t>Rente betaald</t>
        </is>
      </c>
      <c r="F3" s="6" t="inlineStr">
        <is>
          <t>Uitleg / te bevestigen</t>
        </is>
      </c>
    </row>
    <row r="4">
      <c r="A4" s="2" t="inlineStr">
        <is>
          <t>KBC investeringskrediet 420-695088</t>
        </is>
      </c>
      <c r="B4" s="7" t="n">
        <v>19947</v>
      </c>
      <c r="C4" s="7" t="n">
        <v>2628.54</v>
      </c>
      <c r="D4" s="7" t="n">
        <v>17318.46</v>
      </c>
      <c r="E4" s="7" t="n">
        <v>509.66</v>
      </c>
      <c r="F4" s="2" t="inlineStr">
        <is>
          <t>36 mnd vanaf 15/02/2026, rente ±4,1% (bevestigen met kredietvoorstel); kapitaal en rente apart uit de maandelijkse betalingen</t>
        </is>
      </c>
    </row>
    <row r="5">
      <c r="A5" s="2" t="inlineStr">
        <is>
          <t>Creazy CommV (vennootschap Kaydee)</t>
        </is>
      </c>
      <c r="B5" s="7" t="n">
        <v>11176.42</v>
      </c>
      <c r="C5" s="7" t="n">
        <v>1176.42</v>
      </c>
      <c r="D5" s="7" t="n">
        <v>10000</v>
      </c>
      <c r="E5" s="7" t="n">
        <v>0</v>
      </c>
      <c r="F5" s="2" t="inlineStr">
        <is>
          <t>24/06 €10.000 lening + 25/05 €435,72 (reden?) ; 22/01 €1.176,42 = terugstorting btw die SmartPaw op 18/01 voor Creazy betaalde (verrekend)</t>
        </is>
      </c>
    </row>
    <row r="6">
      <c r="A6" s="2" t="inlineStr">
        <is>
          <t>Lening Kaydee</t>
        </is>
      </c>
      <c r="B6" s="7" t="n">
        <v>9000</v>
      </c>
      <c r="C6" s="7" t="n">
        <v>9000</v>
      </c>
      <c r="D6" s="7" t="n">
        <v>0</v>
      </c>
      <c r="E6" s="7" t="n">
        <v>0</v>
      </c>
      <c r="F6" s="2" t="inlineStr">
        <is>
          <t>€9.000 op 05/02 (Revolut), terug op 18/02. Nieuwe lening met intrest? → bevestigen</t>
        </is>
      </c>
    </row>
    <row r="7">
      <c r="A7" s="2" t="inlineStr">
        <is>
          <t>Rekening-courant Henri (voorraad uit inbreng jan 2024)</t>
        </is>
      </c>
      <c r="B7" s="7" t="n">
        <v>14000</v>
      </c>
      <c r="C7" s="7" t="n">
        <v>0</v>
      </c>
      <c r="D7" s="7" t="n">
        <v>14000</v>
      </c>
      <c r="E7" s="7" t="n">
        <v>0</v>
      </c>
      <c r="F7" s="2" t="inlineStr">
        <is>
          <t>oprichting / inbreng; voorwaarden, rente?</t>
        </is>
      </c>
    </row>
    <row r="8">
      <c r="A8" s="4" t="inlineStr">
        <is>
          <t>Totaal schulden aan financiers</t>
        </is>
      </c>
      <c r="D8" s="3">
        <f>SUM(D4:D7)</f>
        <v/>
      </c>
    </row>
    <row r="10">
      <c r="A10" s="4" t="inlineStr">
        <is>
          <t>KBC-krediet: betalingen (kapitaal / rente)</t>
        </is>
      </c>
    </row>
    <row r="11">
      <c r="A11" s="6" t="inlineStr">
        <is>
          <t>Datum</t>
        </is>
      </c>
      <c r="B11" s="6" t="inlineStr">
        <is>
          <t>Kapitaal</t>
        </is>
      </c>
      <c r="C11" s="6" t="inlineStr">
        <is>
          <t>Rente</t>
        </is>
      </c>
    </row>
    <row r="12">
      <c r="A12" s="2" t="inlineStr">
        <is>
          <t>2026-03-15</t>
        </is>
      </c>
      <c r="B12" s="7" t="n">
        <v>0</v>
      </c>
      <c r="C12" s="7" t="n">
        <v>60.99</v>
      </c>
    </row>
    <row r="13">
      <c r="A13" s="2" t="inlineStr">
        <is>
          <t>2026-04-15</t>
        </is>
      </c>
      <c r="B13" s="7" t="n">
        <v>0</v>
      </c>
      <c r="C13" s="7" t="n">
        <v>67.52</v>
      </c>
    </row>
    <row r="14">
      <c r="A14" s="2" t="inlineStr">
        <is>
          <t>2026-05-17</t>
        </is>
      </c>
      <c r="B14" s="7" t="n">
        <v>0</v>
      </c>
      <c r="C14" s="7" t="n">
        <v>65.34</v>
      </c>
    </row>
    <row r="15">
      <c r="A15" s="2" t="inlineStr">
        <is>
          <t>2026-06-15</t>
        </is>
      </c>
      <c r="B15" s="7" t="n">
        <v>521.35</v>
      </c>
      <c r="C15" s="7" t="n">
        <v>67.52</v>
      </c>
    </row>
    <row r="16">
      <c r="A16" s="2" t="inlineStr">
        <is>
          <t>2026-07-15</t>
        </is>
      </c>
      <c r="B16" s="7" t="n">
        <v>525.23</v>
      </c>
      <c r="C16" s="7" t="n">
        <v>63.64</v>
      </c>
    </row>
    <row r="17">
      <c r="A17" s="2" t="inlineStr">
        <is>
          <t>2026-08-16</t>
        </is>
      </c>
      <c r="B17" s="7" t="n">
        <v>524.89</v>
      </c>
      <c r="C17" s="7" t="n">
        <v>63.98</v>
      </c>
    </row>
    <row r="18">
      <c r="A18" s="2" t="inlineStr">
        <is>
          <t>2026-09-15</t>
        </is>
      </c>
      <c r="B18" s="7" t="n">
        <v>526.67</v>
      </c>
      <c r="C18" s="7" t="n">
        <v>62.2</v>
      </c>
    </row>
    <row r="19">
      <c r="A19" s="2" t="inlineStr">
        <is>
          <t>2026-10-15</t>
        </is>
      </c>
      <c r="B19" s="7" t="n">
        <v>530.4</v>
      </c>
      <c r="C19" s="7" t="n">
        <v>58.47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</cols>
  <sheetData>
    <row r="1">
      <c r="A1" s="4" t="inlineStr">
        <is>
          <t>Uitgaven ≥ €250 die mogelijk een investering zijn (af te schrijven i.p.v. kost) — Pro-count beslist</t>
        </is>
      </c>
    </row>
    <row r="3">
      <c r="A3" s="6" t="inlineStr">
        <is>
          <t>Datum</t>
        </is>
      </c>
      <c r="B3" s="6" t="inlineStr">
        <is>
          <t>Tegenpartij</t>
        </is>
      </c>
      <c r="C3" s="6" t="inlineStr">
        <is>
          <t>Bedrag incl. btw</t>
        </is>
      </c>
      <c r="D3" s="6" t="inlineStr">
        <is>
          <t>Categorie</t>
        </is>
      </c>
      <c r="E3" s="6" t="inlineStr">
        <is>
          <t>Investering? (ja/nee)</t>
        </is>
      </c>
    </row>
    <row r="4">
      <c r="A4" s="2" t="inlineStr">
        <is>
          <t>2026-08-25</t>
        </is>
      </c>
      <c r="B4" s="2" t="inlineStr">
        <is>
          <t>Advancemedia</t>
        </is>
      </c>
      <c r="C4" s="7" t="n">
        <v>3650</v>
      </c>
      <c r="D4" s="2" t="inlineStr">
        <is>
          <t>Marketing &amp; content</t>
        </is>
      </c>
      <c r="E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50" customWidth="1" min="4" max="4"/>
  </cols>
  <sheetData>
    <row r="1">
      <c r="A1" s="4" t="inlineStr">
        <is>
          <t>Restaurant, representatie en reizen: btw niet aftrekbaar; kosten slechts deels aftrekbaar (restaurant 69%) — bewijs: met wie en waarom</t>
        </is>
      </c>
    </row>
    <row r="3">
      <c r="A3" s="6" t="inlineStr">
        <is>
          <t>Datum</t>
        </is>
      </c>
      <c r="B3" s="6" t="inlineStr">
        <is>
          <t>Tegenpartij</t>
        </is>
      </c>
      <c r="C3" s="6" t="inlineStr">
        <is>
          <t>Bedrag incl. btw</t>
        </is>
      </c>
      <c r="D3" s="6" t="inlineStr">
        <is>
          <t>Met wie / waarom</t>
        </is>
      </c>
    </row>
    <row r="4">
      <c r="A4" s="2" t="inlineStr">
        <is>
          <t>2026-01-17</t>
        </is>
      </c>
      <c r="B4" s="2" t="inlineStr">
        <is>
          <t>PARKING SINT-MICHIELS</t>
        </is>
      </c>
      <c r="C4" s="7" t="n">
        <v>4.5</v>
      </c>
      <c r="D4" s="2" t="inlineStr"/>
    </row>
    <row r="5">
      <c r="A5" s="2" t="inlineStr">
        <is>
          <t>2026-01-17</t>
        </is>
      </c>
      <c r="B5" s="2" t="inlineStr">
        <is>
          <t>CAFE CHARLATAN</t>
        </is>
      </c>
      <c r="C5" s="7" t="n">
        <v>6</v>
      </c>
      <c r="D5" s="2" t="inlineStr"/>
    </row>
    <row r="6">
      <c r="A6" s="2" t="inlineStr">
        <is>
          <t>2026-01-19</t>
        </is>
      </c>
      <c r="B6" s="2" t="inlineStr">
        <is>
          <t>Borze Cafe</t>
        </is>
      </c>
      <c r="C6" s="7" t="n">
        <v>91</v>
      </c>
      <c r="D6" s="2" t="inlineStr"/>
    </row>
    <row r="7">
      <c r="A7" s="2" t="inlineStr">
        <is>
          <t>2026-07-23</t>
        </is>
      </c>
      <c r="B7" s="2" t="inlineStr"/>
      <c r="C7" s="7" t="n">
        <v>15</v>
      </c>
      <c r="D7" s="2" t="inlineStr"/>
    </row>
    <row r="8">
      <c r="A8" s="2" t="inlineStr">
        <is>
          <t>2026-08-10</t>
        </is>
      </c>
      <c r="B8" s="2" t="inlineStr"/>
      <c r="C8" s="7" t="n">
        <v>94.25</v>
      </c>
      <c r="D8" s="2" t="inlineStr"/>
    </row>
    <row r="9">
      <c r="A9" s="2" t="inlineStr">
        <is>
          <t>2026-08-13</t>
        </is>
      </c>
      <c r="B9" s="2" t="inlineStr"/>
      <c r="C9" s="7" t="n">
        <v>27</v>
      </c>
      <c r="D9" s="2" t="inlineStr"/>
    </row>
    <row r="10">
      <c r="A10" s="2" t="inlineStr">
        <is>
          <t>2026-08-18</t>
        </is>
      </c>
      <c r="B10" s="2" t="inlineStr"/>
      <c r="C10" s="7" t="n">
        <v>249</v>
      </c>
      <c r="D10" s="2" t="inlineStr"/>
    </row>
    <row r="11">
      <c r="A11" s="2" t="inlineStr">
        <is>
          <t>2026-09-13</t>
        </is>
      </c>
      <c r="B11" s="2" t="inlineStr"/>
      <c r="C11" s="7" t="n">
        <v>121.5</v>
      </c>
      <c r="D11" s="2" t="inlineStr"/>
    </row>
    <row r="12">
      <c r="A12" s="2" t="inlineStr">
        <is>
          <t>2026-09-20</t>
        </is>
      </c>
      <c r="B12" s="2" t="inlineStr"/>
      <c r="C12" s="7" t="n">
        <v>8.1</v>
      </c>
      <c r="D12" s="2" t="inlineStr"/>
    </row>
    <row r="13">
      <c r="A13" s="4" t="inlineStr">
        <is>
          <t>Totaal</t>
        </is>
      </c>
      <c r="C13" s="3">
        <f>SUM(C4:C12)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4" customWidth="1" min="4" max="4"/>
    <col width="14" customWidth="1" min="5" max="5"/>
    <col width="50" customWidth="1" min="6" max="6"/>
  </cols>
  <sheetData>
    <row r="1">
      <c r="A1" s="4" t="inlineStr">
        <is>
          <t>Invoeraangiftes met verlegging (art. 41): maatstaf vak 87, btw vak 57 én 59 (netto 0). Ramingen tot de invoeraangifte er is.</t>
        </is>
      </c>
    </row>
    <row r="3">
      <c r="A3" s="6" t="inlineStr">
        <is>
          <t>Aangifte</t>
        </is>
      </c>
      <c r="B3" s="6" t="inlineStr">
        <is>
          <t>Dossier</t>
        </is>
      </c>
      <c r="C3" s="6" t="inlineStr">
        <is>
          <t>Omschrijving</t>
        </is>
      </c>
      <c r="D3" s="6" t="inlineStr">
        <is>
          <t>Maatstaf</t>
        </is>
      </c>
      <c r="E3" s="6" t="inlineStr">
        <is>
          <t>Btw 21%</t>
        </is>
      </c>
      <c r="F3" s="6" t="inlineStr">
        <is>
          <t>Status</t>
        </is>
      </c>
    </row>
    <row r="4">
      <c r="A4" s="2" t="inlineStr">
        <is>
          <t>2026-04-27</t>
        </is>
      </c>
      <c r="B4" s="2" t="inlineStr">
        <is>
          <t>WID202512550</t>
        </is>
      </c>
      <c r="C4" s="2" t="inlineStr">
        <is>
          <t>FurVac 500 (Compass)</t>
        </is>
      </c>
      <c r="D4" s="7" t="n">
        <v>15204.54</v>
      </c>
      <c r="E4" s="7" t="n">
        <v>3192.95</v>
      </c>
      <c r="F4" s="2" t="inlineStr">
        <is>
          <t>raming</t>
        </is>
      </c>
    </row>
    <row r="5">
      <c r="A5" s="2" t="inlineStr">
        <is>
          <t>2026-06-09</t>
        </is>
      </c>
      <c r="B5" s="2" t="inlineStr">
        <is>
          <t>WID202601049</t>
        </is>
      </c>
      <c r="C5" s="2" t="inlineStr">
        <is>
          <t>Fonteinen &amp; voerbakken (Jess)</t>
        </is>
      </c>
      <c r="D5" s="7" t="n">
        <v>18635.54</v>
      </c>
      <c r="E5" s="7" t="n">
        <v>3913.46</v>
      </c>
      <c r="F5" s="2" t="inlineStr">
        <is>
          <t>raming</t>
        </is>
      </c>
    </row>
    <row r="6">
      <c r="A6" s="2" t="inlineStr">
        <is>
          <t>2026-08-13</t>
        </is>
      </c>
      <c r="B6" s="2" t="inlineStr">
        <is>
          <t>WID202607353</t>
        </is>
      </c>
      <c r="C6" s="2" t="inlineStr">
        <is>
          <t>FurVac 750 – luchtvracht accessoires</t>
        </is>
      </c>
      <c r="D6" s="7" t="n"/>
      <c r="E6" s="7" t="n"/>
      <c r="F6" s="2" t="inlineStr">
        <is>
          <t>goederenwaarde onbekend – invoeraangifte opvragen bij Widem</t>
        </is>
      </c>
    </row>
    <row r="7">
      <c r="A7" s="2" t="inlineStr">
        <is>
          <t>2026-11-19</t>
        </is>
      </c>
      <c r="B7" s="2" t="inlineStr">
        <is>
          <t>WID202608397</t>
        </is>
      </c>
      <c r="C7" s="2" t="inlineStr">
        <is>
          <t>FurVac 750 – zeevracht</t>
        </is>
      </c>
      <c r="D7" s="7" t="n"/>
      <c r="E7" s="7" t="n"/>
      <c r="F7" s="2" t="inlineStr">
        <is>
          <t>verwacht (ETA ±19/11)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Open punten voor de jaarafsluiting</t>
        </is>
      </c>
    </row>
    <row r="3">
      <c r="A3" s="2" t="inlineStr">
        <is>
          <t>☐ Voorraadtelling op 31/12 bij Widem (aantallen bevestigen) + goederen onderweg.</t>
        </is>
      </c>
    </row>
    <row r="4">
      <c r="A4" s="2" t="inlineStr">
        <is>
          <t>☐ Facturen van 2026 die pas in 2027 betaald worden (Widem december, Compass-saldo FurVac 750 ±$5.249, Pro-count jaarafsluiting).</t>
        </is>
      </c>
    </row>
    <row r="5">
      <c r="A5" s="2" t="inlineStr">
        <is>
          <t>☐ Btw Q3 (€6.873,24) en Q4 nog te betalen → schuld op 31/12.</t>
        </is>
      </c>
    </row>
    <row r="6">
      <c r="A6" s="2" t="inlineStr">
        <is>
          <t>☐ Rekening-courant Henri €14.000 en lening Creazy €10.000: voorwaarden en rente op papier zetten.</t>
        </is>
      </c>
    </row>
    <row r="7">
      <c r="A7" s="2" t="inlineStr">
        <is>
          <t>☐ Lening Kaydee: bestaat er nog een lening met intrest (aflossing vanaf eind nov)? Bedrag en contract.</t>
        </is>
      </c>
    </row>
    <row r="8">
      <c r="A8" s="2" t="inlineStr">
        <is>
          <t>☐ Creazy €435,72 (25/05): waarvoor?</t>
        </is>
      </c>
    </row>
    <row r="9">
      <c r="A9" s="2" t="inlineStr">
        <is>
          <t>☐ Investeringen (tabblad): wat wordt afgeschreven?</t>
        </is>
      </c>
    </row>
    <row r="10">
      <c r="A10" s="2" t="inlineStr">
        <is>
          <t>☐ Restaurantkosten: per ticket noteren met wie en waarom.</t>
        </is>
      </c>
    </row>
    <row r="11">
      <c r="A11" s="2" t="inlineStr">
        <is>
          <t>☐ Kredietkaart 2025 (±€7.870) zonder detail: kaartuittreksels 2025 aan Pro-count.</t>
        </is>
      </c>
    </row>
    <row r="12">
      <c r="A12" s="2" t="inlineStr">
        <is>
          <t>☐ Verdeling winst/verlies 70/30 of 50/50 vanaf welke datum.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2026-10-27T05:02:14Z</dcterms:created>
  <dcterms:modified xsi:type="dcterms:W3CDTF">2026-10-27T05:02:14Z</dcterms:modified>
</cp:coreProperties>
</file>