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vatting" sheetId="1" state="visible" r:id="rId1"/>
    <sheet name="Verkopen" sheetId="2" state="visible" r:id="rId2"/>
    <sheet name="Aankopen" sheetId="3" state="visible" r:id="rId3"/>
    <sheet name="Btw-voorbereiding" sheetId="4" state="visible" r:id="rId4"/>
    <sheet name="Bankafstemming" sheetId="5" state="visible" r:id="rId5"/>
    <sheet name="Documenten" sheetId="6" state="visible" r:id="rId6"/>
    <sheet name="Leningen" sheetId="7" state="visible" r:id="rId7"/>
    <sheet name="OSS" sheetId="8" state="visible" r:id="rId8"/>
  </sheets>
  <definedNames>
    <definedName name="_xlnm._FilterDatabase" localSheetId="2" hidden="1">'Aankopen'!$A$3:$J$28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;[Red]-€ #,##0.00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0E6B5C"/>
      </patternFill>
    </fill>
  </fills>
  <borders count="2">
    <border>
      <left/>
      <right/>
      <top/>
      <bottom/>
      <diagonal/>
    </border>
    <border>
      <bottom style="thin">
        <color rgb="00D9DD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164" fontId="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SmartPaw VOF — kwartaalpakket Q4 2026</t>
        </is>
      </c>
    </row>
    <row r="2">
      <c r="A2" s="2" t="inlineStr">
        <is>
          <t>Voorbereid door het SmartPaw-financiënplatform op 2026-10-27. Voorbereiding: Pro-count controleert en dient in.</t>
        </is>
      </c>
    </row>
    <row r="4">
      <c r="A4" s="2" t="inlineStr">
        <is>
          <t>Verkopen Shopify (netto excl. btw)</t>
        </is>
      </c>
      <c r="B4" s="3">
        <f>Verkopen!F8</f>
        <v/>
      </c>
    </row>
    <row r="5">
      <c r="A5" s="2" t="inlineStr">
        <is>
          <t>Verkopen bol.com (netto excl. btw)</t>
        </is>
      </c>
      <c r="B5" s="3">
        <f>Verkopen!D15</f>
        <v/>
      </c>
    </row>
    <row r="6">
      <c r="A6" s="2" t="inlineStr">
        <is>
          <t>Btw op verkopen (vak 54)</t>
        </is>
      </c>
      <c r="B6" s="3">
        <f>'Btw-voorbereiding'!C5</f>
        <v/>
      </c>
    </row>
    <row r="7">
      <c r="A7" s="2" t="inlineStr">
        <is>
          <t>Aftrekbare btw (vak 59)</t>
        </is>
      </c>
      <c r="B7" s="3">
        <f>'Btw-voorbereiding'!C11</f>
        <v/>
      </c>
    </row>
    <row r="8">
      <c r="A8" s="2" t="inlineStr">
        <is>
          <t>Te betalen volgens voorbereiding</t>
        </is>
      </c>
      <c r="B8" s="4">
        <f>'Btw-voorbereiding'!C12</f>
        <v/>
      </c>
    </row>
    <row r="9">
      <c r="A9" s="2" t="inlineStr">
        <is>
          <t>Te betalen volgens Pro-count</t>
        </is>
      </c>
      <c r="B9" s="4">
        <f>'Btw-voorbereiding'!C13</f>
        <v/>
      </c>
    </row>
    <row r="10">
      <c r="A10" s="2" t="inlineStr">
        <is>
          <t>Verschil</t>
        </is>
      </c>
      <c r="B10" s="4">
        <f>'Btw-voorbereiding'!C14</f>
        <v/>
      </c>
    </row>
    <row r="11">
      <c r="A11" s="2" t="inlineStr">
        <is>
          <t>Uitgaven met onzekere btw-behandeling (NAKIJKEN)</t>
        </is>
      </c>
      <c r="B11" s="2">
        <f>COUNTIF(Aankopen!E4:E28,"NAKIJKEN")</f>
        <v/>
      </c>
    </row>
    <row r="12">
      <c r="A12" s="2" t="inlineStr">
        <is>
          <t>Verrichtingen zonder bewijs</t>
        </is>
      </c>
      <c r="B12" s="2" t="n">
        <v>12</v>
      </c>
    </row>
    <row r="14">
      <c r="A14" s="5" t="inlineStr">
        <is>
          <t>Tabbladen: Verkopen · Aankopen · Btw-voorbereiding · Bankafstemming · Documenten · Leningen · 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13" customWidth="1" min="8" max="8"/>
    <col width="15" customWidth="1" min="9" max="9"/>
  </cols>
  <sheetData>
    <row r="1">
      <c r="A1" s="6" t="inlineStr">
        <is>
          <t>Verkopen Q4 2026 (Shopify per factuurland + bol.com)</t>
        </is>
      </c>
    </row>
    <row r="3">
      <c r="A3" s="7" t="inlineStr">
        <is>
          <t>Shopify – land</t>
        </is>
      </c>
      <c r="B3" s="7" t="inlineStr">
        <is>
          <t>Orders</t>
        </is>
      </c>
      <c r="C3" s="7" t="inlineStr">
        <is>
          <t>Bruto</t>
        </is>
      </c>
      <c r="D3" s="7" t="inlineStr">
        <is>
          <t>Korting</t>
        </is>
      </c>
      <c r="E3" s="7" t="inlineStr">
        <is>
          <t>Retours</t>
        </is>
      </c>
      <c r="F3" s="7" t="inlineStr">
        <is>
          <t>Netto excl. btw</t>
        </is>
      </c>
      <c r="G3" s="7" t="inlineStr">
        <is>
          <t>Verzending (incl. btw)</t>
        </is>
      </c>
      <c r="H3" s="7" t="inlineStr">
        <is>
          <t>Btw</t>
        </is>
      </c>
      <c r="I3" s="7" t="inlineStr">
        <is>
          <t>Totaal incl. btw</t>
        </is>
      </c>
    </row>
    <row r="4">
      <c r="A4" s="8" t="inlineStr">
        <is>
          <t>België</t>
        </is>
      </c>
      <c r="B4" s="8" t="n">
        <v>121</v>
      </c>
      <c r="C4" s="9" t="n">
        <v>11413.24</v>
      </c>
      <c r="D4" s="9" t="n">
        <v>-1681.78</v>
      </c>
      <c r="E4" s="9" t="n">
        <v>-440.57</v>
      </c>
      <c r="F4" s="9" t="n">
        <v>9290.889999999999</v>
      </c>
      <c r="G4" s="9" t="n">
        <v>52.11</v>
      </c>
      <c r="H4" s="9" t="n">
        <v>1920.66</v>
      </c>
      <c r="I4" s="9" t="n">
        <v>11263.66</v>
      </c>
    </row>
    <row r="5">
      <c r="A5" s="8" t="inlineStr">
        <is>
          <t>Nederland</t>
        </is>
      </c>
      <c r="B5" s="8" t="n">
        <v>13</v>
      </c>
      <c r="C5" s="9" t="n">
        <v>974.66</v>
      </c>
      <c r="D5" s="9" t="n">
        <v>-160.99</v>
      </c>
      <c r="E5" s="9" t="n">
        <v>-250.06</v>
      </c>
      <c r="F5" s="9" t="n">
        <v>563.61</v>
      </c>
      <c r="G5" s="9" t="n">
        <v>14.88</v>
      </c>
      <c r="H5" s="9" t="n">
        <v>121.47</v>
      </c>
      <c r="I5" s="9" t="n">
        <v>699.96</v>
      </c>
    </row>
    <row r="6">
      <c r="A6" s="8" t="inlineStr">
        <is>
          <t>(geen land ingevuld)</t>
        </is>
      </c>
      <c r="B6" s="8" t="n">
        <v>3</v>
      </c>
      <c r="C6" s="9" t="n">
        <v>128.99</v>
      </c>
      <c r="D6" s="9" t="n">
        <v>-128.99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</row>
    <row r="7">
      <c r="A7" s="8" t="inlineStr">
        <is>
          <t>Portugal</t>
        </is>
      </c>
      <c r="B7" s="8" t="n">
        <v>1</v>
      </c>
      <c r="C7" s="9" t="n">
        <v>19.82</v>
      </c>
      <c r="D7" s="9" t="n">
        <v>0</v>
      </c>
      <c r="E7" s="9" t="n">
        <v>0</v>
      </c>
      <c r="F7" s="9" t="n">
        <v>19.82</v>
      </c>
      <c r="G7" s="9" t="n">
        <v>5.79</v>
      </c>
      <c r="H7" s="9" t="n">
        <v>5.37</v>
      </c>
      <c r="I7" s="9" t="n">
        <v>30.98</v>
      </c>
    </row>
    <row r="8">
      <c r="A8" s="6" t="inlineStr">
        <is>
          <t>Totaal Shopify</t>
        </is>
      </c>
      <c r="B8" s="6">
        <f>SUM(B4:B7)</f>
        <v/>
      </c>
      <c r="C8" s="4">
        <f>SUM(C4:C7)</f>
        <v/>
      </c>
      <c r="D8" s="4">
        <f>SUM(D4:D7)</f>
        <v/>
      </c>
      <c r="E8" s="4">
        <f>SUM(E4:E7)</f>
        <v/>
      </c>
      <c r="F8" s="4">
        <f>SUM(F4:F7)</f>
        <v/>
      </c>
      <c r="G8" s="4">
        <f>SUM(G4:G7)</f>
        <v/>
      </c>
      <c r="H8" s="4">
        <f>SUM(H4:H7)</f>
        <v/>
      </c>
      <c r="I8" s="4">
        <f>SUM(I4:I7)</f>
        <v/>
      </c>
    </row>
    <row r="10">
      <c r="A10" s="6" t="inlineStr">
        <is>
          <t>bol.com (uit de bol-facturen)</t>
        </is>
      </c>
    </row>
    <row r="11">
      <c r="A11" s="7" t="inlineStr">
        <is>
          <t>bol – maand</t>
        </is>
      </c>
      <c r="B11" s="7" t="inlineStr">
        <is>
          <t>Orders</t>
        </is>
      </c>
      <c r="C11" s="7" t="inlineStr">
        <is>
          <t>Omzet incl. btw (na retouren)</t>
        </is>
      </c>
      <c r="D11" s="7" t="inlineStr">
        <is>
          <t>Netto excl. btw</t>
        </is>
      </c>
      <c r="E11" s="7" t="inlineStr">
        <is>
          <t>Btw 21%</t>
        </is>
      </c>
      <c r="F11" s="7" t="inlineStr">
        <is>
          <t>Commissie (kost, verlegd)</t>
        </is>
      </c>
      <c r="G11" s="7" t="inlineStr">
        <is>
          <t>bol-ads (kost)</t>
        </is>
      </c>
      <c r="H11" s="7" t="inlineStr">
        <is>
          <t>Retourlabels (kost)</t>
        </is>
      </c>
    </row>
    <row r="12">
      <c r="A12" s="8" t="inlineStr">
        <is>
          <t>2026-10</t>
        </is>
      </c>
      <c r="B12" s="8" t="n">
        <v>0</v>
      </c>
      <c r="C12" s="9" t="n">
        <v>0</v>
      </c>
      <c r="D12" s="9">
        <f>C12/1.21</f>
        <v/>
      </c>
      <c r="E12" s="9">
        <f>C12-D12</f>
        <v/>
      </c>
      <c r="F12" s="9" t="n">
        <v>0</v>
      </c>
      <c r="G12" s="9" t="n">
        <v>0</v>
      </c>
      <c r="H12" s="9" t="n">
        <v>0</v>
      </c>
    </row>
    <row r="13">
      <c r="A13" s="8" t="inlineStr">
        <is>
          <t>2026-11</t>
        </is>
      </c>
      <c r="B13" s="8" t="n">
        <v>0</v>
      </c>
      <c r="C13" s="9" t="n">
        <v>0</v>
      </c>
      <c r="D13" s="9">
        <f>C13/1.21</f>
        <v/>
      </c>
      <c r="E13" s="9">
        <f>C13-D13</f>
        <v/>
      </c>
      <c r="F13" s="9" t="n">
        <v>0</v>
      </c>
      <c r="G13" s="9" t="n">
        <v>0</v>
      </c>
      <c r="H13" s="9" t="n">
        <v>0</v>
      </c>
    </row>
    <row r="14">
      <c r="A14" s="8" t="inlineStr">
        <is>
          <t>2026-12</t>
        </is>
      </c>
      <c r="B14" s="8" t="n">
        <v>0</v>
      </c>
      <c r="C14" s="9" t="n">
        <v>0</v>
      </c>
      <c r="D14" s="9">
        <f>C14/1.21</f>
        <v/>
      </c>
      <c r="E14" s="9">
        <f>C14-D14</f>
        <v/>
      </c>
      <c r="F14" s="9" t="n">
        <v>0</v>
      </c>
      <c r="G14" s="9" t="n">
        <v>0</v>
      </c>
      <c r="H14" s="9" t="n">
        <v>0</v>
      </c>
    </row>
    <row r="15">
      <c r="A15" s="6" t="inlineStr">
        <is>
          <t>Totaal bol</t>
        </is>
      </c>
      <c r="B15" s="6">
        <f>SUM(B12:B14)</f>
        <v/>
      </c>
      <c r="C15" s="4">
        <f>SUM(C12:C14)</f>
        <v/>
      </c>
      <c r="D15" s="4">
        <f>SUM(D12:D14)</f>
        <v/>
      </c>
      <c r="E15" s="4">
        <f>SUM(E12:E14)</f>
        <v/>
      </c>
      <c r="F15" s="4">
        <f>SUM(F12:F14)</f>
        <v/>
      </c>
      <c r="G15" s="4">
        <f>SUM(G12:G14)</f>
        <v/>
      </c>
      <c r="H15" s="4">
        <f>SUM(H12:H14)</f>
        <v/>
      </c>
    </row>
    <row r="17">
      <c r="A17" s="6" t="inlineStr">
        <is>
          <t>Per betaalwijze (Shopify)</t>
        </is>
      </c>
    </row>
    <row r="18">
      <c r="A18" s="7" t="inlineStr">
        <is>
          <t>Betaalwijze</t>
        </is>
      </c>
      <c r="B18" s="7" t="inlineStr">
        <is>
          <t>Bruto</t>
        </is>
      </c>
      <c r="C18" s="7" t="inlineStr">
        <is>
          <t>Terugbetaald</t>
        </is>
      </c>
      <c r="D18" s="7" t="inlineStr">
        <is>
          <t>Netto</t>
        </is>
      </c>
    </row>
    <row r="19">
      <c r="A19" s="8" t="inlineStr">
        <is>
          <t>Shopify Payments (kaart, Bancontact, Klarna, …)</t>
        </is>
      </c>
      <c r="B19" s="9" t="n">
        <v>12871.33</v>
      </c>
      <c r="C19" s="9" t="n">
        <v>-876.73</v>
      </c>
      <c r="D19" s="9" t="n">
        <v>11994.6</v>
      </c>
    </row>
    <row r="21">
      <c r="A21" s="2" t="inlineStr">
        <is>
          <t>Shopify Payments-kosten (fees)</t>
        </is>
      </c>
      <c r="D21" s="10" t="n">
        <v>185.4</v>
      </c>
    </row>
    <row r="22">
      <c r="A22" s="2" t="inlineStr">
        <is>
          <t>Verwachte uitbetalingen (netto − fees)</t>
        </is>
      </c>
      <c r="D22" s="10">
        <f>D19-D21</f>
        <v/>
      </c>
    </row>
    <row r="23">
      <c r="A23" s="2" t="inlineStr">
        <is>
          <t>Stortingen Shopify Payments op KBC in dit kwartaal</t>
        </is>
      </c>
      <c r="D23" s="10" t="n">
        <v>7891.52</v>
      </c>
    </row>
    <row r="24">
      <c r="A24" s="2" t="inlineStr">
        <is>
          <t>Verschil (timing: verkoop eind vorig kwartaal betaald in dit kwartaal, en omgekeerd)</t>
        </is>
      </c>
      <c r="D24" s="10">
        <f>D23-D22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26" customWidth="1" min="4" max="4"/>
    <col width="10" customWidth="1" min="5" max="5"/>
    <col width="16" customWidth="1" min="6" max="6"/>
    <col width="30" customWidth="1" min="7" max="7"/>
    <col width="14" customWidth="1" min="8" max="8"/>
    <col width="14" customWidth="1" min="9" max="9"/>
    <col width="12" customWidth="1" min="10" max="10"/>
  </cols>
  <sheetData>
    <row r="1">
      <c r="A1" s="6" t="inlineStr">
        <is>
          <t>Uitgaven Q4 2026 volgens de bank (KBC, KBC-kredietkaart, Revolut) — met btw-behandeling</t>
        </is>
      </c>
    </row>
    <row r="3">
      <c r="A3" s="7" t="inlineStr">
        <is>
          <t>Datum</t>
        </is>
      </c>
      <c r="B3" s="7" t="inlineStr">
        <is>
          <t>Rekening</t>
        </is>
      </c>
      <c r="C3" s="7" t="inlineStr">
        <is>
          <t>Leverancier</t>
        </is>
      </c>
      <c r="D3" s="7" t="inlineStr">
        <is>
          <t>Categorie</t>
        </is>
      </c>
      <c r="E3" s="7" t="inlineStr">
        <is>
          <t>Btw-type</t>
        </is>
      </c>
      <c r="F3" s="7" t="inlineStr">
        <is>
          <t>Vak aangifte</t>
        </is>
      </c>
      <c r="G3" s="7" t="inlineStr">
        <is>
          <t>Toelichting</t>
        </is>
      </c>
      <c r="H3" s="7" t="inlineStr">
        <is>
          <t>Betaald (incl. btw)</t>
        </is>
      </c>
      <c r="I3" s="7" t="inlineStr">
        <is>
          <t>Maatstaf (excl. btw)</t>
        </is>
      </c>
      <c r="J3" s="7" t="inlineStr">
        <is>
          <t>Btw</t>
        </is>
      </c>
    </row>
    <row r="4">
      <c r="A4" s="8" t="inlineStr">
        <is>
          <t>2026-10-01</t>
        </is>
      </c>
      <c r="B4" s="8" t="inlineStr">
        <is>
          <t>KBC</t>
        </is>
      </c>
      <c r="C4" s="8" t="inlineStr">
        <is>
          <t>Yuki Works NV via Mollie</t>
        </is>
      </c>
      <c r="D4" s="8" t="inlineStr">
        <is>
          <t>Software &amp; abonnementen</t>
        </is>
      </c>
      <c r="E4" s="8" t="inlineStr">
        <is>
          <t>BE21</t>
        </is>
      </c>
      <c r="F4" s="8" t="inlineStr">
        <is>
          <t>82 (+ btw in 59)</t>
        </is>
      </c>
      <c r="G4" s="8" t="inlineStr">
        <is>
          <t>Belgische leverancier</t>
        </is>
      </c>
      <c r="H4" s="9" t="n">
        <v>2.42</v>
      </c>
      <c r="I4" s="10">
        <f>H4/1.21</f>
        <v/>
      </c>
      <c r="J4" s="10">
        <f>H4-I4</f>
        <v/>
      </c>
    </row>
    <row r="5">
      <c r="A5" s="8" t="inlineStr">
        <is>
          <t>2026-10-01</t>
        </is>
      </c>
      <c r="B5" s="8" t="inlineStr">
        <is>
          <t>KBC</t>
        </is>
      </c>
      <c r="C5" s="8" t="inlineStr">
        <is>
          <t>GOOGLE*WORKSPACE SMART IED02 R296 CC GOOGLE.C</t>
        </is>
      </c>
      <c r="D5" s="8" t="inlineStr">
        <is>
          <t>Software &amp; abonnementen</t>
        </is>
      </c>
      <c r="E5" s="8" t="inlineStr">
        <is>
          <t>EU</t>
        </is>
      </c>
      <c r="F5" s="8" t="inlineStr">
        <is>
          <t>88 / 55 / 59</t>
        </is>
      </c>
      <c r="G5" s="8" t="inlineStr">
        <is>
          <t>dienst Ierland/EU, verlegd</t>
        </is>
      </c>
      <c r="H5" s="9" t="n">
        <v>75.90000000000001</v>
      </c>
      <c r="I5" s="10">
        <f>H5</f>
        <v/>
      </c>
      <c r="J5" s="10">
        <f>I5*0.21</f>
        <v/>
      </c>
    </row>
    <row r="6">
      <c r="A6" s="8" t="inlineStr">
        <is>
          <t>2026-10-01</t>
        </is>
      </c>
      <c r="B6" s="8" t="inlineStr">
        <is>
          <t>KBC-kaart</t>
        </is>
      </c>
      <c r="C6" s="8" t="inlineStr">
        <is>
          <t>METAPAY*MV4B</t>
        </is>
      </c>
      <c r="D6" s="8" t="inlineStr">
        <is>
          <t>Ads Meta</t>
        </is>
      </c>
      <c r="E6" s="8" t="inlineStr">
        <is>
          <t>EU</t>
        </is>
      </c>
      <c r="F6" s="8" t="inlineStr">
        <is>
          <t>88 / 55 / 59</t>
        </is>
      </c>
      <c r="G6" s="8" t="inlineStr">
        <is>
          <t>dienst Ierland/EU, verlegd</t>
        </is>
      </c>
      <c r="H6" s="9" t="n">
        <v>22.29</v>
      </c>
      <c r="I6" s="10">
        <f>H6</f>
        <v/>
      </c>
      <c r="J6" s="10">
        <f>I6*0.21</f>
        <v/>
      </c>
    </row>
    <row r="7">
      <c r="A7" s="8" t="inlineStr">
        <is>
          <t>2026-10-03</t>
        </is>
      </c>
      <c r="B7" s="8" t="inlineStr">
        <is>
          <t>KBC-kaart</t>
        </is>
      </c>
      <c r="C7" s="8" t="inlineStr">
        <is>
          <t>ALIBABA.COM</t>
        </is>
      </c>
      <c r="D7" s="8" t="inlineStr">
        <is>
          <t>Voorraad (fabriek)</t>
        </is>
      </c>
      <c r="E7" s="8" t="inlineStr">
        <is>
          <t>INVOER</t>
        </is>
      </c>
      <c r="F7" s="8" t="inlineStr">
        <is>
          <t>invoeraangifte (Widem)</t>
        </is>
      </c>
      <c r="G7" s="8" t="inlineStr">
        <is>
          <t>goederen China; btw via invoer (Widem)</t>
        </is>
      </c>
      <c r="H7" s="9" t="n">
        <v>333</v>
      </c>
      <c r="I7" s="10">
        <f>H7</f>
        <v/>
      </c>
      <c r="J7" s="10" t="n">
        <v>0</v>
      </c>
    </row>
    <row r="8">
      <c r="A8" s="8" t="inlineStr">
        <is>
          <t>2026-10-04</t>
        </is>
      </c>
      <c r="B8" s="8" t="inlineStr">
        <is>
          <t>KBC</t>
        </is>
      </c>
      <c r="C8" s="8" t="inlineStr">
        <is>
          <t>FACEBK *QVA4B7E8A4 IED04 X2K5 DUBLIN Betaling</t>
        </is>
      </c>
      <c r="D8" s="8" t="inlineStr">
        <is>
          <t>Ads Meta</t>
        </is>
      </c>
      <c r="E8" s="8" t="inlineStr">
        <is>
          <t>EU</t>
        </is>
      </c>
      <c r="F8" s="8" t="inlineStr">
        <is>
          <t>88 / 55 / 59</t>
        </is>
      </c>
      <c r="G8" s="8" t="inlineStr">
        <is>
          <t>dienst Ierland/EU, verlegd</t>
        </is>
      </c>
      <c r="H8" s="9" t="n">
        <v>800</v>
      </c>
      <c r="I8" s="10">
        <f>H8</f>
        <v/>
      </c>
      <c r="J8" s="10">
        <f>I8*0.21</f>
        <v/>
      </c>
    </row>
    <row r="9">
      <c r="A9" s="8" t="inlineStr">
        <is>
          <t>2026-10-05</t>
        </is>
      </c>
      <c r="B9" s="8" t="inlineStr">
        <is>
          <t>KBC</t>
        </is>
      </c>
      <c r="C9" s="8" t="inlineStr">
        <is>
          <t>Pro-Count</t>
        </is>
      </c>
      <c r="D9" s="8" t="inlineStr">
        <is>
          <t>Boekhouder</t>
        </is>
      </c>
      <c r="E9" s="8" t="inlineStr">
        <is>
          <t>BE21</t>
        </is>
      </c>
      <c r="F9" s="8" t="inlineStr">
        <is>
          <t>82 (+ btw in 59)</t>
        </is>
      </c>
      <c r="G9" s="8" t="inlineStr">
        <is>
          <t>Belgische leverancier</t>
        </is>
      </c>
      <c r="H9" s="9" t="n">
        <v>242</v>
      </c>
      <c r="I9" s="10">
        <f>H9/1.21</f>
        <v/>
      </c>
      <c r="J9" s="10">
        <f>H9-I9</f>
        <v/>
      </c>
    </row>
    <row r="10">
      <c r="A10" s="8" t="inlineStr">
        <is>
          <t>2026-10-08</t>
        </is>
      </c>
      <c r="B10" s="8" t="inlineStr">
        <is>
          <t>Revolut</t>
        </is>
      </c>
      <c r="C10" s="8" t="inlineStr">
        <is>
          <t>Company Pro plan fee</t>
        </is>
      </c>
      <c r="D10" s="8" t="inlineStr">
        <is>
          <t>Software &amp; abonnementen</t>
        </is>
      </c>
      <c r="E10" s="8" t="inlineStr">
        <is>
          <t>GEEN</t>
        </is>
      </c>
      <c r="F10" s="8" t="inlineStr">
        <is>
          <t>82 zonder btw</t>
        </is>
      </c>
      <c r="G10" s="8" t="inlineStr">
        <is>
          <t>vrijgesteld / geen btw</t>
        </is>
      </c>
      <c r="H10" s="9" t="n">
        <v>35</v>
      </c>
      <c r="I10" s="10">
        <f>H10</f>
        <v/>
      </c>
      <c r="J10" s="10" t="n">
        <v>0</v>
      </c>
    </row>
    <row r="11">
      <c r="A11" s="8" t="inlineStr">
        <is>
          <t>2026-10-08</t>
        </is>
      </c>
      <c r="B11" s="8" t="inlineStr">
        <is>
          <t>KBC</t>
        </is>
      </c>
      <c r="C11" s="8" t="inlineStr">
        <is>
          <t>FACEBK *MYTGS7E8A4 IED04 X2K5 DUBLIN Betaling</t>
        </is>
      </c>
      <c r="D11" s="8" t="inlineStr">
        <is>
          <t>Ads Meta</t>
        </is>
      </c>
      <c r="E11" s="8" t="inlineStr">
        <is>
          <t>EU</t>
        </is>
      </c>
      <c r="F11" s="8" t="inlineStr">
        <is>
          <t>88 / 55 / 59</t>
        </is>
      </c>
      <c r="G11" s="8" t="inlineStr">
        <is>
          <t>dienst Ierland/EU, verlegd</t>
        </is>
      </c>
      <c r="H11" s="9" t="n">
        <v>517.01</v>
      </c>
      <c r="I11" s="10">
        <f>H11</f>
        <v/>
      </c>
      <c r="J11" s="10">
        <f>I11*0.21</f>
        <v/>
      </c>
    </row>
    <row r="12">
      <c r="A12" s="8" t="inlineStr">
        <is>
          <t>2026-10-08</t>
        </is>
      </c>
      <c r="B12" s="8" t="inlineStr">
        <is>
          <t>KBC-kaart</t>
        </is>
      </c>
      <c r="C12" s="8" t="inlineStr">
        <is>
          <t>HOLO AI</t>
        </is>
      </c>
      <c r="D12" s="8" t="inlineStr">
        <is>
          <t>Marketing &amp; content</t>
        </is>
      </c>
      <c r="E12" s="8" t="inlineStr">
        <is>
          <t>EU</t>
        </is>
      </c>
      <c r="F12" s="8" t="inlineStr">
        <is>
          <t>88 / 55 / 59</t>
        </is>
      </c>
      <c r="G12" s="8" t="inlineStr">
        <is>
          <t>dienst Ierland/EU, verlegd</t>
        </is>
      </c>
      <c r="H12" s="9" t="n">
        <v>42.95</v>
      </c>
      <c r="I12" s="10">
        <f>H12</f>
        <v/>
      </c>
      <c r="J12" s="10">
        <f>I12*0.21</f>
        <v/>
      </c>
    </row>
    <row r="13">
      <c r="A13" s="8" t="inlineStr">
        <is>
          <t>2026-10-09</t>
        </is>
      </c>
      <c r="B13" s="8" t="inlineStr">
        <is>
          <t>KBC-kaart</t>
        </is>
      </c>
      <c r="C13" s="8" t="inlineStr">
        <is>
          <t>SHOPIFY* 601792977</t>
        </is>
      </c>
      <c r="D13" s="8" t="inlineStr">
        <is>
          <t>Software &amp; abonnementen</t>
        </is>
      </c>
      <c r="E13" s="8" t="inlineStr">
        <is>
          <t>EU</t>
        </is>
      </c>
      <c r="F13" s="8" t="inlineStr">
        <is>
          <t>88 / 55 / 59</t>
        </is>
      </c>
      <c r="G13" s="8" t="inlineStr">
        <is>
          <t>dienst Ierland/EU, verlegd</t>
        </is>
      </c>
      <c r="H13" s="9" t="n">
        <v>129.2</v>
      </c>
      <c r="I13" s="10">
        <f>H13</f>
        <v/>
      </c>
      <c r="J13" s="10">
        <f>I13*0.21</f>
        <v/>
      </c>
    </row>
    <row r="14">
      <c r="A14" s="8" t="inlineStr">
        <is>
          <t>2026-10-10</t>
        </is>
      </c>
      <c r="B14" s="8" t="inlineStr">
        <is>
          <t>KBC-kaart</t>
        </is>
      </c>
      <c r="C14" s="8" t="inlineStr">
        <is>
          <t>KLAVIYO INC. SOFTWARE</t>
        </is>
      </c>
      <c r="D14" s="8" t="inlineStr">
        <is>
          <t>Software &amp; abonnementen</t>
        </is>
      </c>
      <c r="E14" s="8" t="inlineStr">
        <is>
          <t>NONEU</t>
        </is>
      </c>
      <c r="F14" s="8" t="inlineStr">
        <is>
          <t>87 / 56 / 59</t>
        </is>
      </c>
      <c r="G14" s="8" t="inlineStr">
        <is>
          <t>dienst buiten EU, verlegd</t>
        </is>
      </c>
      <c r="H14" s="9" t="n">
        <v>63.59</v>
      </c>
      <c r="I14" s="10">
        <f>H14</f>
        <v/>
      </c>
      <c r="J14" s="10">
        <f>I14*0.21</f>
        <v/>
      </c>
    </row>
    <row r="15">
      <c r="A15" s="8" t="inlineStr">
        <is>
          <t>2026-10-10</t>
        </is>
      </c>
      <c r="B15" s="8" t="inlineStr">
        <is>
          <t>KBC-kaart</t>
        </is>
      </c>
      <c r="C15" s="8" t="inlineStr">
        <is>
          <t>GODADDY*#7038004865</t>
        </is>
      </c>
      <c r="D15" s="8" t="inlineStr">
        <is>
          <t>Software &amp; abonnementen</t>
        </is>
      </c>
      <c r="E15" s="8" t="inlineStr">
        <is>
          <t>NONEU</t>
        </is>
      </c>
      <c r="F15" s="8" t="inlineStr">
        <is>
          <t>87 / 56 / 59</t>
        </is>
      </c>
      <c r="G15" s="8" t="inlineStr">
        <is>
          <t>dienst buiten EU, verlegd</t>
        </is>
      </c>
      <c r="H15" s="9" t="n">
        <v>167.76</v>
      </c>
      <c r="I15" s="10">
        <f>H15</f>
        <v/>
      </c>
      <c r="J15" s="10">
        <f>I15*0.21</f>
        <v/>
      </c>
    </row>
    <row r="16">
      <c r="A16" s="8" t="inlineStr">
        <is>
          <t>2026-10-11</t>
        </is>
      </c>
      <c r="B16" s="8" t="inlineStr">
        <is>
          <t>KBC</t>
        </is>
      </c>
      <c r="C16" s="8" t="inlineStr">
        <is>
          <t>FACEBK *XX3GC6J8A4 IED04 X2K5 DUBLIN Betaling</t>
        </is>
      </c>
      <c r="D16" s="8" t="inlineStr">
        <is>
          <t>Ads Meta</t>
        </is>
      </c>
      <c r="E16" s="8" t="inlineStr">
        <is>
          <t>EU</t>
        </is>
      </c>
      <c r="F16" s="8" t="inlineStr">
        <is>
          <t>88 / 55 / 59</t>
        </is>
      </c>
      <c r="G16" s="8" t="inlineStr">
        <is>
          <t>dienst Ierland/EU, verlegd</t>
        </is>
      </c>
      <c r="H16" s="9" t="n">
        <v>800</v>
      </c>
      <c r="I16" s="10">
        <f>H16</f>
        <v/>
      </c>
      <c r="J16" s="10">
        <f>I16*0.21</f>
        <v/>
      </c>
    </row>
    <row r="17">
      <c r="A17" s="8" t="inlineStr">
        <is>
          <t>2026-10-14</t>
        </is>
      </c>
      <c r="B17" s="8" t="inlineStr">
        <is>
          <t>KBC-kaart</t>
        </is>
      </c>
      <c r="C17" s="8" t="inlineStr">
        <is>
          <t>ALIBABA.COM</t>
        </is>
      </c>
      <c r="D17" s="8" t="inlineStr">
        <is>
          <t>Voorraad (fabriek)</t>
        </is>
      </c>
      <c r="E17" s="8" t="inlineStr">
        <is>
          <t>INVOER</t>
        </is>
      </c>
      <c r="F17" s="8" t="inlineStr">
        <is>
          <t>invoeraangifte (Widem)</t>
        </is>
      </c>
      <c r="G17" s="8" t="inlineStr">
        <is>
          <t>goederen China; btw via invoer (Widem)</t>
        </is>
      </c>
      <c r="H17" s="9" t="n">
        <v>779.1</v>
      </c>
      <c r="I17" s="10">
        <f>H17</f>
        <v/>
      </c>
      <c r="J17" s="10" t="n">
        <v>0</v>
      </c>
    </row>
    <row r="18">
      <c r="A18" s="8" t="inlineStr">
        <is>
          <t>2026-10-15</t>
        </is>
      </c>
      <c r="B18" s="8" t="inlineStr">
        <is>
          <t>KBC</t>
        </is>
      </c>
      <c r="C18" s="8" t="inlineStr">
        <is>
          <t>HIGGSFIELD INC. US94105 SAN FRANCISCO Betalin</t>
        </is>
      </c>
      <c r="D18" s="8" t="inlineStr">
        <is>
          <t>Marketing &amp; content</t>
        </is>
      </c>
      <c r="E18" s="8" t="inlineStr">
        <is>
          <t>NONEU</t>
        </is>
      </c>
      <c r="F18" s="8" t="inlineStr">
        <is>
          <t>87 / 56 / 59</t>
        </is>
      </c>
      <c r="G18" s="8" t="inlineStr">
        <is>
          <t>dienst buiten EU, verlegd</t>
        </is>
      </c>
      <c r="H18" s="9" t="n">
        <v>67.84</v>
      </c>
      <c r="I18" s="10">
        <f>H18</f>
        <v/>
      </c>
      <c r="J18" s="10">
        <f>I18*0.21</f>
        <v/>
      </c>
    </row>
    <row r="19">
      <c r="A19" s="8" t="inlineStr">
        <is>
          <t>2026-10-15</t>
        </is>
      </c>
      <c r="B19" s="8" t="inlineStr">
        <is>
          <t>KBC</t>
        </is>
      </c>
      <c r="C19" s="8" t="inlineStr">
        <is>
          <t>FACEBK *J3XKX8W7A4 IED04 X2K5 DUBLIN Betaling</t>
        </is>
      </c>
      <c r="D19" s="8" t="inlineStr">
        <is>
          <t>Ads Meta</t>
        </is>
      </c>
      <c r="E19" s="8" t="inlineStr">
        <is>
          <t>EU</t>
        </is>
      </c>
      <c r="F19" s="8" t="inlineStr">
        <is>
          <t>88 / 55 / 59</t>
        </is>
      </c>
      <c r="G19" s="8" t="inlineStr">
        <is>
          <t>dienst Ierland/EU, verlegd</t>
        </is>
      </c>
      <c r="H19" s="9" t="n">
        <v>800</v>
      </c>
      <c r="I19" s="10">
        <f>H19</f>
        <v/>
      </c>
      <c r="J19" s="10">
        <f>I19*0.21</f>
        <v/>
      </c>
    </row>
    <row r="20">
      <c r="A20" s="8" t="inlineStr">
        <is>
          <t>2026-10-15</t>
        </is>
      </c>
      <c r="B20" s="8" t="inlineStr">
        <is>
          <t>KBC</t>
        </is>
      </c>
      <c r="C20" s="8" t="inlineStr">
        <is>
          <t>SMARTPAW VOF</t>
        </is>
      </c>
      <c r="D20" s="8" t="inlineStr">
        <is>
          <t>Aflossing KBC-krediet</t>
        </is>
      </c>
      <c r="E20" s="8" t="inlineStr">
        <is>
          <t>FIN</t>
        </is>
      </c>
      <c r="F20" s="8" t="inlineStr">
        <is>
          <t>—</t>
        </is>
      </c>
      <c r="G20" s="8" t="inlineStr">
        <is>
          <t>geen aankoop</t>
        </is>
      </c>
      <c r="H20" s="9" t="n">
        <v>530.4</v>
      </c>
      <c r="I20" s="10">
        <f>H20</f>
        <v/>
      </c>
      <c r="J20" s="10" t="n">
        <v>0</v>
      </c>
    </row>
    <row r="21">
      <c r="A21" s="8" t="inlineStr">
        <is>
          <t>2026-10-15</t>
        </is>
      </c>
      <c r="B21" s="8" t="inlineStr">
        <is>
          <t>KBC</t>
        </is>
      </c>
      <c r="C21" s="8" t="inlineStr">
        <is>
          <t>SMARTPAW VOF</t>
        </is>
      </c>
      <c r="D21" s="8" t="inlineStr">
        <is>
          <t>Rente KBC-krediet</t>
        </is>
      </c>
      <c r="E21" s="8" t="inlineStr">
        <is>
          <t>GEEN</t>
        </is>
      </c>
      <c r="F21" s="8" t="inlineStr">
        <is>
          <t>82 zonder btw</t>
        </is>
      </c>
      <c r="G21" s="8" t="inlineStr">
        <is>
          <t>vrijgesteld / geen btw</t>
        </is>
      </c>
      <c r="H21" s="9" t="n">
        <v>58.47</v>
      </c>
      <c r="I21" s="10">
        <f>H21</f>
        <v/>
      </c>
      <c r="J21" s="10" t="n">
        <v>0</v>
      </c>
    </row>
    <row r="22">
      <c r="A22" s="8" t="inlineStr">
        <is>
          <t>2026-10-15</t>
        </is>
      </c>
      <c r="B22" s="8" t="inlineStr">
        <is>
          <t>KBC</t>
        </is>
      </c>
      <c r="C22" s="8" t="inlineStr">
        <is>
          <t>HIGGSFIELD INC. US94105 SAN FRANCISCO Betalin</t>
        </is>
      </c>
      <c r="D22" s="8" t="inlineStr">
        <is>
          <t>Marketing &amp; content</t>
        </is>
      </c>
      <c r="E22" s="8" t="inlineStr">
        <is>
          <t>NONEU</t>
        </is>
      </c>
      <c r="F22" s="8" t="inlineStr">
        <is>
          <t>87 / 56 / 59</t>
        </is>
      </c>
      <c r="G22" s="8" t="inlineStr">
        <is>
          <t>dienst buiten EU, verlegd</t>
        </is>
      </c>
      <c r="H22" s="9" t="n">
        <v>36.2</v>
      </c>
      <c r="I22" s="10">
        <f>H22</f>
        <v/>
      </c>
      <c r="J22" s="10">
        <f>I22*0.21</f>
        <v/>
      </c>
    </row>
    <row r="23">
      <c r="A23" s="8" t="inlineStr">
        <is>
          <t>2026-10-18</t>
        </is>
      </c>
      <c r="B23" s="8" t="inlineStr">
        <is>
          <t>KBC</t>
        </is>
      </c>
      <c r="C23" s="8" t="inlineStr">
        <is>
          <t>FACEBK *U6Y6G7J7A4 IED04 X2K5 DUBLIN Betaling</t>
        </is>
      </c>
      <c r="D23" s="8" t="inlineStr">
        <is>
          <t>Ads Meta</t>
        </is>
      </c>
      <c r="E23" s="8" t="inlineStr">
        <is>
          <t>EU</t>
        </is>
      </c>
      <c r="F23" s="8" t="inlineStr">
        <is>
          <t>88 / 55 / 59</t>
        </is>
      </c>
      <c r="G23" s="8" t="inlineStr">
        <is>
          <t>dienst Ierland/EU, verlegd</t>
        </is>
      </c>
      <c r="H23" s="9" t="n">
        <v>800</v>
      </c>
      <c r="I23" s="10">
        <f>H23</f>
        <v/>
      </c>
      <c r="J23" s="10">
        <f>I23*0.21</f>
        <v/>
      </c>
    </row>
    <row r="24">
      <c r="A24" s="8" t="inlineStr">
        <is>
          <t>2026-10-19</t>
        </is>
      </c>
      <c r="B24" s="8" t="inlineStr">
        <is>
          <t>KBC</t>
        </is>
      </c>
      <c r="C24" s="8" t="inlineStr">
        <is>
          <t>HIGGSFIELD INC. US94105 SAN FRANCISCO Betalin</t>
        </is>
      </c>
      <c r="D24" s="8" t="inlineStr">
        <is>
          <t>Marketing &amp; content</t>
        </is>
      </c>
      <c r="E24" s="8" t="inlineStr">
        <is>
          <t>NONEU</t>
        </is>
      </c>
      <c r="F24" s="8" t="inlineStr">
        <is>
          <t>87 / 56 / 59</t>
        </is>
      </c>
      <c r="G24" s="8" t="inlineStr">
        <is>
          <t>dienst buiten EU, verlegd</t>
        </is>
      </c>
      <c r="H24" s="9" t="n">
        <v>72</v>
      </c>
      <c r="I24" s="10">
        <f>H24</f>
        <v/>
      </c>
      <c r="J24" s="10">
        <f>I24*0.21</f>
        <v/>
      </c>
    </row>
    <row r="25">
      <c r="A25" s="8" t="inlineStr">
        <is>
          <t>2026-10-20</t>
        </is>
      </c>
      <c r="B25" s="8" t="inlineStr">
        <is>
          <t>KBC</t>
        </is>
      </c>
      <c r="C25" s="8" t="inlineStr">
        <is>
          <t>BPOST NV BE1000 BRUXELLES Betaling met KBC-De</t>
        </is>
      </c>
      <c r="D25" s="8" t="inlineStr">
        <is>
          <t>Verzending &amp; retours (overig)</t>
        </is>
      </c>
      <c r="E25" s="8" t="inlineStr">
        <is>
          <t>BE21</t>
        </is>
      </c>
      <c r="F25" s="8" t="inlineStr">
        <is>
          <t>82 (+ btw in 59)</t>
        </is>
      </c>
      <c r="G25" s="8" t="inlineStr">
        <is>
          <t>Belgische leverancier</t>
        </is>
      </c>
      <c r="H25" s="9" t="n">
        <v>6.78</v>
      </c>
      <c r="I25" s="10">
        <f>H25/1.21</f>
        <v/>
      </c>
      <c r="J25" s="10">
        <f>H25-I25</f>
        <v/>
      </c>
    </row>
    <row r="26">
      <c r="A26" s="8" t="inlineStr">
        <is>
          <t>2026-10-21</t>
        </is>
      </c>
      <c r="B26" s="8" t="inlineStr">
        <is>
          <t>KBC</t>
        </is>
      </c>
      <c r="C26" s="8" t="inlineStr">
        <is>
          <t>FACEBK *L8VFT7J8A4 IED04 X2K5 DUBLIN Betaling</t>
        </is>
      </c>
      <c r="D26" s="8" t="inlineStr">
        <is>
          <t>Ads Meta</t>
        </is>
      </c>
      <c r="E26" s="8" t="inlineStr">
        <is>
          <t>EU</t>
        </is>
      </c>
      <c r="F26" s="8" t="inlineStr">
        <is>
          <t>88 / 55 / 59</t>
        </is>
      </c>
      <c r="G26" s="8" t="inlineStr">
        <is>
          <t>dienst Ierland/EU, verlegd</t>
        </is>
      </c>
      <c r="H26" s="9" t="n">
        <v>800</v>
      </c>
      <c r="I26" s="10">
        <f>H26</f>
        <v/>
      </c>
      <c r="J26" s="10">
        <f>I26*0.21</f>
        <v/>
      </c>
    </row>
    <row r="27">
      <c r="A27" s="8" t="inlineStr">
        <is>
          <t>2026-10-23</t>
        </is>
      </c>
      <c r="B27" s="8" t="inlineStr">
        <is>
          <t>KBC-kaart</t>
        </is>
      </c>
      <c r="C27" s="8" t="inlineStr">
        <is>
          <t>FACEBK *CNGZB8S7A4</t>
        </is>
      </c>
      <c r="D27" s="8" t="inlineStr">
        <is>
          <t>Ads Meta</t>
        </is>
      </c>
      <c r="E27" s="8" t="inlineStr">
        <is>
          <t>EU</t>
        </is>
      </c>
      <c r="F27" s="8" t="inlineStr">
        <is>
          <t>88 / 55 / 59</t>
        </is>
      </c>
      <c r="G27" s="8" t="inlineStr">
        <is>
          <t>dienst Ierland/EU, verlegd</t>
        </is>
      </c>
      <c r="H27" s="9" t="n">
        <v>621.34</v>
      </c>
      <c r="I27" s="10">
        <f>H27</f>
        <v/>
      </c>
      <c r="J27" s="10">
        <f>I27*0.21</f>
        <v/>
      </c>
    </row>
    <row r="28">
      <c r="A28" s="8" t="inlineStr">
        <is>
          <t>2026-10-25</t>
        </is>
      </c>
      <c r="B28" s="8" t="inlineStr">
        <is>
          <t>KBC</t>
        </is>
      </c>
      <c r="C28" s="8" t="inlineStr">
        <is>
          <t>bpost parcel</t>
        </is>
      </c>
      <c r="D28" s="8" t="inlineStr">
        <is>
          <t>Verzending &amp; retours (overig)</t>
        </is>
      </c>
      <c r="E28" s="8" t="inlineStr">
        <is>
          <t>BE21</t>
        </is>
      </c>
      <c r="F28" s="8" t="inlineStr">
        <is>
          <t>82 (+ btw in 59)</t>
        </is>
      </c>
      <c r="G28" s="8" t="inlineStr">
        <is>
          <t>Belgische leverancier</t>
        </is>
      </c>
      <c r="H28" s="9" t="n">
        <v>8.6</v>
      </c>
      <c r="I28" s="10">
        <f>H28/1.21</f>
        <v/>
      </c>
      <c r="J28" s="10">
        <f>H28-I28</f>
        <v/>
      </c>
    </row>
  </sheetData>
  <autoFilter ref="A3:J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</cols>
  <sheetData>
    <row r="1">
      <c r="A1" s="6" t="inlineStr">
        <is>
          <t>Btw-aangifte Q4 2026 — voorbereiding (ter controle door Pro-count)</t>
        </is>
      </c>
    </row>
    <row r="3">
      <c r="A3" s="7" t="inlineStr">
        <is>
          <t>Vak</t>
        </is>
      </c>
      <c r="B3" s="7" t="inlineStr">
        <is>
          <t>Omschrijving</t>
        </is>
      </c>
      <c r="C3" s="7" t="inlineStr">
        <is>
          <t>Bedrag</t>
        </is>
      </c>
    </row>
    <row r="4">
      <c r="A4" s="8" t="inlineStr">
        <is>
          <t>03</t>
        </is>
      </c>
      <c r="B4" s="8" t="inlineStr">
        <is>
          <t>Verkopen 21% (maatstaf): Shopify netto + verzending excl. btw + bol netto</t>
        </is>
      </c>
      <c r="C4" s="9">
        <f>Verkopen!F8+Verkopen!G8/1.21+Verkopen!D15</f>
        <v/>
      </c>
    </row>
    <row r="5">
      <c r="A5" s="8" t="inlineStr">
        <is>
          <t>54</t>
        </is>
      </c>
      <c r="B5" s="8" t="inlineStr">
        <is>
          <t>Verschuldigde btw op verkopen</t>
        </is>
      </c>
      <c r="C5" s="9">
        <f>Verkopen!H8+Verkopen!E15</f>
        <v/>
      </c>
    </row>
    <row r="6">
      <c r="A6" s="8" t="inlineStr">
        <is>
          <t>82</t>
        </is>
      </c>
      <c r="B6" s="8" t="inlineStr">
        <is>
          <t>Aankopen diensten en diverse goederen BE (maatstaf, incl. niet-aftrekbaar)</t>
        </is>
      </c>
      <c r="C6" s="9">
        <f>SUMIFS(Aankopen!$I$4:$I$28,Aankopen!$E$4:$E$28,"BE21")+SUMIFS(Aankopen!$I$4:$I$28,Aankopen!$E$4:$E$28,"BE21NA")+SUMIFS(Aankopen!$I$4:$I$28,Aankopen!$E$4:$E$28,"GEEN")</f>
        <v/>
      </c>
    </row>
    <row r="7">
      <c r="A7" s="8" t="inlineStr">
        <is>
          <t>88</t>
        </is>
      </c>
      <c r="B7" s="8" t="inlineStr">
        <is>
          <t>Diensten uit andere EU-landen (verlegd) — maatstaf</t>
        </is>
      </c>
      <c r="C7" s="9">
        <f>SUMIFS(Aankopen!$I$4:$I$28,Aankopen!$E$4:$E$28,"EU")</f>
        <v/>
      </c>
    </row>
    <row r="8">
      <c r="A8" s="8" t="inlineStr">
        <is>
          <t>55</t>
        </is>
      </c>
      <c r="B8" s="8" t="inlineStr">
        <is>
          <t>Btw op vak 88 (verlegd, verschuldigd)</t>
        </is>
      </c>
      <c r="C8" s="9">
        <f>SUMIFS(Aankopen!$J$4:$J$28,Aankopen!$E$4:$E$28,"EU")</f>
        <v/>
      </c>
    </row>
    <row r="9">
      <c r="A9" s="8" t="inlineStr">
        <is>
          <t>87</t>
        </is>
      </c>
      <c r="B9" s="8" t="inlineStr">
        <is>
          <t>Diensten van buiten de EU (verlegd) + invoer art. 41 — maatstaf</t>
        </is>
      </c>
      <c r="C9" s="9">
        <f>SUMIFS(Aankopen!$I$4:$I$28,Aankopen!$E$4:$E$28,"NONEU")+0</f>
        <v/>
      </c>
    </row>
    <row r="10">
      <c r="A10" s="8" t="inlineStr">
        <is>
          <t>56</t>
        </is>
      </c>
      <c r="B10" s="8" t="inlineStr">
        <is>
          <t>Btw op vak 87 (verlegd, verschuldigd)</t>
        </is>
      </c>
      <c r="C10" s="9">
        <f>SUMIFS(Aankopen!$J$4:$J$28,Aankopen!$E$4:$E$28,"NONEU")</f>
        <v/>
      </c>
    </row>
    <row r="11">
      <c r="A11" s="8" t="inlineStr">
        <is>
          <t>59</t>
        </is>
      </c>
      <c r="B11" s="8" t="inlineStr">
        <is>
          <t>Aftrekbare btw: Belgische aankopen 21% + verlegde btw 55 + 56 + 57</t>
        </is>
      </c>
      <c r="C11" s="9">
        <f>SUMIFS(Aankopen!$J$4:$J$28,Aankopen!$E$4:$E$28,"BE21")+C8+C10+C15</f>
        <v/>
      </c>
    </row>
    <row r="12">
      <c r="A12" s="8" t="inlineStr"/>
      <c r="B12" s="8" t="inlineStr">
        <is>
          <t>Te betalen (54 + 55 + 56 + 57 − 59)</t>
        </is>
      </c>
      <c r="C12" s="9">
        <f>C5+C8+C10+C15-C11</f>
        <v/>
      </c>
    </row>
    <row r="13">
      <c r="A13" s="8" t="inlineStr"/>
      <c r="B13" s="8" t="inlineStr">
        <is>
          <t>Opgegeven door Pro-count (mail 22/10/2026)</t>
        </is>
      </c>
      <c r="C13" s="9" t="n">
        <v>6873.24</v>
      </c>
    </row>
    <row r="14">
      <c r="A14" s="8" t="inlineStr"/>
      <c r="B14" s="8" t="inlineStr">
        <is>
          <t>Verschil voorbereiding − Pro-count</t>
        </is>
      </c>
      <c r="C14" s="9">
        <f>C12-C13</f>
        <v/>
      </c>
    </row>
    <row r="15">
      <c r="A15" s="8" t="inlineStr">
        <is>
          <t>57</t>
        </is>
      </c>
      <c r="B15" s="8" t="inlineStr">
        <is>
          <t>Btw op invoer met verlegging (art. 41, invoeraangiftes Widem)</t>
        </is>
      </c>
      <c r="C15" s="9" t="n">
        <v>0</v>
      </c>
    </row>
    <row r="16">
      <c r="A16" s="5" t="inlineStr">
        <is>
          <t>Niet in deze voorbereiding: btw-correcties, en uitgaven van het type 'NAKIJKEN' (zie Aankopen).</t>
        </is>
      </c>
    </row>
    <row r="17">
      <c r="A17" s="5" t="inlineStr">
        <is>
          <t>Invoer: waarde onbekend voor WID202608397 (invoeraangifte opvragen bij Widem); 57 en 59 heffen elkaar op.</t>
        </is>
      </c>
    </row>
    <row r="18">
      <c r="A18" s="5" t="inlineStr">
        <is>
          <t>Ook alle NL-verkopen dragen nu Belgische btw (OSS-drempel €10.000 nog niet bereikt, zie OSS).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</cols>
  <sheetData>
    <row r="1">
      <c r="A1" s="6" t="inlineStr">
        <is>
          <t>Bankafstemming Q4 2026</t>
        </is>
      </c>
    </row>
    <row r="3">
      <c r="A3" s="7" t="inlineStr">
        <is>
          <t>Rekening</t>
        </is>
      </c>
      <c r="B3" s="7" t="inlineStr">
        <is>
          <t>Munt</t>
        </is>
      </c>
      <c r="C3" s="7" t="inlineStr">
        <is>
          <t>Beginsaldo</t>
        </is>
      </c>
      <c r="D3" s="7" t="inlineStr">
        <is>
          <t>In</t>
        </is>
      </c>
      <c r="E3" s="7" t="inlineStr">
        <is>
          <t>Uit</t>
        </is>
      </c>
      <c r="F3" s="7" t="inlineStr">
        <is>
          <t>Eindsaldo</t>
        </is>
      </c>
      <c r="G3" s="7" t="inlineStr">
        <is>
          <t>Verrichtingen</t>
        </is>
      </c>
      <c r="H3" s="11" t="inlineStr">
        <is>
          <t>Controle (moet 0 zijn)</t>
        </is>
      </c>
    </row>
    <row r="4">
      <c r="A4" s="8" t="inlineStr">
        <is>
          <t>KBC zichtrekening BE84 7310 7076 0259</t>
        </is>
      </c>
      <c r="B4" s="8" t="inlineStr">
        <is>
          <t>EUR</t>
        </is>
      </c>
      <c r="C4" s="9" t="n">
        <v>-331.19</v>
      </c>
      <c r="D4" s="9" t="n">
        <v>8962.110000000001</v>
      </c>
      <c r="E4" s="9" t="n">
        <v>-6467.34</v>
      </c>
      <c r="F4" s="9" t="n">
        <v>2163.58</v>
      </c>
      <c r="G4" s="8" t="n">
        <v>34</v>
      </c>
      <c r="H4" s="10">
        <f>C4+D4+E4-F4</f>
        <v/>
      </c>
    </row>
    <row r="5">
      <c r="A5" s="8" t="inlineStr">
        <is>
          <t>Revolut Business EUR</t>
        </is>
      </c>
      <c r="B5" s="8" t="inlineStr">
        <is>
          <t>EUR</t>
        </is>
      </c>
      <c r="C5" s="9" t="n">
        <v>0</v>
      </c>
      <c r="D5" s="9" t="n">
        <v>35</v>
      </c>
      <c r="E5" s="9" t="n">
        <v>-35</v>
      </c>
      <c r="F5" s="9" t="n">
        <v>0</v>
      </c>
      <c r="G5" s="8" t="n">
        <v>2</v>
      </c>
      <c r="H5" s="10">
        <f>C5+D5+E5-F5</f>
        <v/>
      </c>
    </row>
    <row r="6">
      <c r="A6" s="8" t="inlineStr">
        <is>
          <t>Revolut Business USD</t>
        </is>
      </c>
      <c r="B6" s="8" t="inlineStr">
        <is>
          <t>USD</t>
        </is>
      </c>
      <c r="C6" s="9" t="n">
        <v>569.84</v>
      </c>
      <c r="D6" s="9" t="n">
        <v>0</v>
      </c>
      <c r="E6" s="9" t="n">
        <v>-39.15</v>
      </c>
      <c r="F6" s="9" t="n">
        <v>530.6900000000001</v>
      </c>
      <c r="G6" s="8" t="n">
        <v>1</v>
      </c>
      <c r="H6" s="10">
        <f>C6+D6+E6-F6</f>
        <v/>
      </c>
    </row>
    <row r="8">
      <c r="A8" s="5" t="inlineStr">
        <is>
          <t>Saldi teruggerekend vanaf de bankstand van 2026-10-27 (Ponto/Revolut). KBC-kredietkaart: zie Aankopen (rekening 'KBC-kaart'); afrekening via de zichtrekening.</t>
        </is>
      </c>
    </row>
    <row r="9">
      <c r="A9" t="inlineStr">
        <is>
          <t>Kredietkaartuitgaven in dit kwartaal</t>
        </is>
      </c>
      <c r="F9" s="10" t="n">
        <v>2159.23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0" customWidth="1" min="4" max="4"/>
    <col width="12" customWidth="1" min="5" max="5"/>
    <col width="50" customWidth="1" min="6" max="6"/>
  </cols>
  <sheetData>
    <row r="1">
      <c r="A1" s="6" t="inlineStr">
        <is>
          <t>Bewijs per verrichting: 11 gekoppeld, 18 verklaard (geen factuur nodig, niet in deze lijst), 12 ontbreken. Facturen zitten in de map Facturen_Q4-2026 (bestandsnaam = datum_leverancier_bedrag).</t>
        </is>
      </c>
    </row>
    <row r="3">
      <c r="A3" s="7" t="inlineStr">
        <is>
          <t>Datum</t>
        </is>
      </c>
      <c r="B3" s="7" t="inlineStr">
        <is>
          <t>Tegenpartij</t>
        </is>
      </c>
      <c r="C3" s="7" t="inlineStr">
        <is>
          <t>Bedrag</t>
        </is>
      </c>
      <c r="D3" s="7" t="inlineStr">
        <is>
          <t>Btw-type</t>
        </is>
      </c>
      <c r="E3" s="7" t="inlineStr">
        <is>
          <t>Status</t>
        </is>
      </c>
      <c r="F3" s="7" t="inlineStr">
        <is>
          <t>Bewijs</t>
        </is>
      </c>
    </row>
    <row r="4">
      <c r="A4" s="8" t="inlineStr">
        <is>
          <t>2026-10-01</t>
        </is>
      </c>
      <c r="B4" s="8" t="inlineStr">
        <is>
          <t>Yuki Works NV via Mollie</t>
        </is>
      </c>
      <c r="C4" s="9" t="n">
        <v>-2.42</v>
      </c>
      <c r="D4" s="8" t="inlineStr">
        <is>
          <t>BE21</t>
        </is>
      </c>
      <c r="E4" s="8" t="inlineStr">
        <is>
          <t>ontbreekt</t>
        </is>
      </c>
      <c r="F4" s="8" t="inlineStr"/>
    </row>
    <row r="5">
      <c r="A5" s="8" t="inlineStr">
        <is>
          <t>2026-10-01</t>
        </is>
      </c>
      <c r="B5" s="8" t="inlineStr">
        <is>
          <t>GOOGLE*WORKSPACE SMART IED02 R296 CC GOOGLE.COM Be</t>
        </is>
      </c>
      <c r="C5" s="9" t="n">
        <v>-75.90000000000001</v>
      </c>
      <c r="D5" s="8" t="inlineStr">
        <is>
          <t>EU</t>
        </is>
      </c>
      <c r="E5" s="8" t="inlineStr">
        <is>
          <t>ontbreekt</t>
        </is>
      </c>
      <c r="F5" s="8" t="inlineStr"/>
    </row>
    <row r="6">
      <c r="A6" s="8" t="inlineStr">
        <is>
          <t>2026-10-01</t>
        </is>
      </c>
      <c r="B6" s="8" t="inlineStr">
        <is>
          <t>METAPAY*MV4B</t>
        </is>
      </c>
      <c r="C6" s="9" t="n">
        <v>-22.29</v>
      </c>
      <c r="D6" s="8" t="inlineStr">
        <is>
          <t>EU</t>
        </is>
      </c>
      <c r="E6" s="8" t="inlineStr">
        <is>
          <t>ontbreekt</t>
        </is>
      </c>
      <c r="F6" s="8" t="inlineStr"/>
    </row>
    <row r="7">
      <c r="A7" s="8" t="inlineStr">
        <is>
          <t>2026-10-05</t>
        </is>
      </c>
      <c r="B7" s="8" t="inlineStr">
        <is>
          <t>Pro-Count</t>
        </is>
      </c>
      <c r="C7" s="9" t="n">
        <v>-242</v>
      </c>
      <c r="D7" s="8" t="inlineStr">
        <is>
          <t>BE21</t>
        </is>
      </c>
      <c r="E7" s="8" t="inlineStr">
        <is>
          <t>ontbreekt</t>
        </is>
      </c>
      <c r="F7" s="8" t="inlineStr"/>
    </row>
    <row r="8">
      <c r="A8" s="8" t="inlineStr">
        <is>
          <t>2026-10-08</t>
        </is>
      </c>
      <c r="B8" s="8" t="inlineStr">
        <is>
          <t>Company Pro plan fee</t>
        </is>
      </c>
      <c r="C8" s="9" t="n">
        <v>-35</v>
      </c>
      <c r="D8" s="8" t="inlineStr">
        <is>
          <t>GEEN</t>
        </is>
      </c>
      <c r="E8" s="8" t="inlineStr">
        <is>
          <t>ontbreekt</t>
        </is>
      </c>
      <c r="F8" s="8" t="inlineStr"/>
    </row>
    <row r="9">
      <c r="A9" s="8" t="inlineStr">
        <is>
          <t>2026-10-10</t>
        </is>
      </c>
      <c r="B9" s="8" t="inlineStr">
        <is>
          <t>KLAVIYO INC. SOFTWARE</t>
        </is>
      </c>
      <c r="C9" s="9" t="n">
        <v>-63.59</v>
      </c>
      <c r="D9" s="8" t="inlineStr">
        <is>
          <t>NONEU</t>
        </is>
      </c>
      <c r="E9" s="8" t="inlineStr">
        <is>
          <t>ontbreekt</t>
        </is>
      </c>
      <c r="F9" s="8" t="inlineStr"/>
    </row>
    <row r="10">
      <c r="A10" s="8" t="inlineStr">
        <is>
          <t>2026-10-10</t>
        </is>
      </c>
      <c r="B10" s="8" t="inlineStr">
        <is>
          <t>GODADDY*#7038004865</t>
        </is>
      </c>
      <c r="C10" s="9" t="n">
        <v>-167.76</v>
      </c>
      <c r="D10" s="8" t="inlineStr">
        <is>
          <t>NONEU</t>
        </is>
      </c>
      <c r="E10" s="8" t="inlineStr">
        <is>
          <t>ontbreekt</t>
        </is>
      </c>
      <c r="F10" s="8" t="inlineStr"/>
    </row>
    <row r="11">
      <c r="A11" s="8" t="inlineStr">
        <is>
          <t>2026-10-15</t>
        </is>
      </c>
      <c r="B11" s="8" t="inlineStr">
        <is>
          <t>HIGGSFIELD INC. US94105 SAN FRANCISCO Betaling met</t>
        </is>
      </c>
      <c r="C11" s="9" t="n">
        <v>-67.84</v>
      </c>
      <c r="D11" s="8" t="inlineStr">
        <is>
          <t>NONEU</t>
        </is>
      </c>
      <c r="E11" s="8" t="inlineStr">
        <is>
          <t>ontbreekt</t>
        </is>
      </c>
      <c r="F11" s="8" t="inlineStr"/>
    </row>
    <row r="12">
      <c r="A12" s="8" t="inlineStr">
        <is>
          <t>2026-10-15</t>
        </is>
      </c>
      <c r="B12" s="8" t="inlineStr">
        <is>
          <t>HIGGSFIELD INC. US94105 SAN FRANCISCO Betaling met</t>
        </is>
      </c>
      <c r="C12" s="9" t="n">
        <v>-36.2</v>
      </c>
      <c r="D12" s="8" t="inlineStr">
        <is>
          <t>NONEU</t>
        </is>
      </c>
      <c r="E12" s="8" t="inlineStr">
        <is>
          <t>ontbreekt</t>
        </is>
      </c>
      <c r="F12" s="8" t="inlineStr"/>
    </row>
    <row r="13">
      <c r="A13" s="8" t="inlineStr">
        <is>
          <t>2026-10-19</t>
        </is>
      </c>
      <c r="B13" s="8" t="inlineStr">
        <is>
          <t>HIGGSFIELD INC. US94105 SAN FRANCISCO Betaling met</t>
        </is>
      </c>
      <c r="C13" s="9" t="n">
        <v>-72</v>
      </c>
      <c r="D13" s="8" t="inlineStr">
        <is>
          <t>NONEU</t>
        </is>
      </c>
      <c r="E13" s="8" t="inlineStr">
        <is>
          <t>ontbreekt</t>
        </is>
      </c>
      <c r="F13" s="8" t="inlineStr"/>
    </row>
    <row r="14">
      <c r="A14" s="8" t="inlineStr">
        <is>
          <t>2026-10-20</t>
        </is>
      </c>
      <c r="B14" s="8" t="inlineStr">
        <is>
          <t>BPOST NV BE1000 BRUXELLES Betaling met KBC-Debetka</t>
        </is>
      </c>
      <c r="C14" s="9" t="n">
        <v>-6.78</v>
      </c>
      <c r="D14" s="8" t="inlineStr">
        <is>
          <t>BE21</t>
        </is>
      </c>
      <c r="E14" s="8" t="inlineStr">
        <is>
          <t>ontbreekt</t>
        </is>
      </c>
      <c r="F14" s="8" t="inlineStr"/>
    </row>
    <row r="15">
      <c r="A15" s="8" t="inlineStr">
        <is>
          <t>2026-10-23</t>
        </is>
      </c>
      <c r="B15" s="8" t="inlineStr">
        <is>
          <t>FACEBK *CNGZB8S7A4</t>
        </is>
      </c>
      <c r="C15" s="9" t="n">
        <v>-621.34</v>
      </c>
      <c r="D15" s="8" t="inlineStr">
        <is>
          <t>EU</t>
        </is>
      </c>
      <c r="E15" s="8" t="inlineStr">
        <is>
          <t>ontbreekt</t>
        </is>
      </c>
      <c r="F15" s="8" t="inlineStr"/>
    </row>
    <row r="16">
      <c r="A16" s="8" t="inlineStr">
        <is>
          <t>2026-10-03</t>
        </is>
      </c>
      <c r="B16" s="8" t="inlineStr">
        <is>
          <t>ALIBABA.COM</t>
        </is>
      </c>
      <c r="C16" s="9" t="n">
        <v>-333</v>
      </c>
      <c r="D16" s="8" t="inlineStr">
        <is>
          <t>INVOER</t>
        </is>
      </c>
      <c r="E16" s="8" t="inlineStr">
        <is>
          <t>gekoppeld</t>
        </is>
      </c>
      <c r="F16" s="8" t="inlineStr">
        <is>
          <t>Alibaba-ontvangstbewijs order 33333736501041123 (filters FF007 250 + FF009L 240)</t>
        </is>
      </c>
    </row>
    <row r="17">
      <c r="A17" s="8" t="inlineStr">
        <is>
          <t>2026-10-04</t>
        </is>
      </c>
      <c r="B17" s="8" t="inlineStr">
        <is>
          <t xml:space="preserve">FACEBK *QVA4B7E8A4 IED04 X2K5 DUBLIN Betaling met </t>
        </is>
      </c>
      <c r="C17" s="9" t="n">
        <v>-800</v>
      </c>
      <c r="D17" s="8" t="inlineStr">
        <is>
          <t>EU</t>
        </is>
      </c>
      <c r="E17" s="8" t="inlineStr">
        <is>
          <t>gekoppeld</t>
        </is>
      </c>
      <c r="F17" s="8" t="inlineStr">
        <is>
          <t>Meta-kwitantie 28560783836940336-28560783956940324 (2026-10-04) – in Lucy/Yuki</t>
        </is>
      </c>
    </row>
    <row r="18">
      <c r="A18" s="8" t="inlineStr">
        <is>
          <t>2026-10-08</t>
        </is>
      </c>
      <c r="B18" s="8" t="inlineStr">
        <is>
          <t xml:space="preserve">FACEBK *MYTGS7E8A4 IED04 X2K5 DUBLIN Betaling met </t>
        </is>
      </c>
      <c r="C18" s="9" t="n">
        <v>-517.01</v>
      </c>
      <c r="D18" s="8" t="inlineStr">
        <is>
          <t>EU</t>
        </is>
      </c>
      <c r="E18" s="8" t="inlineStr">
        <is>
          <t>gekoppeld</t>
        </is>
      </c>
      <c r="F18" s="8" t="inlineStr">
        <is>
          <t>Meta-kwitantie 28823801243971925-28794383930246982 (2026-10-08) – in Lucy/Yuki</t>
        </is>
      </c>
    </row>
    <row r="19">
      <c r="A19" s="8" t="inlineStr">
        <is>
          <t>2026-10-08</t>
        </is>
      </c>
      <c r="B19" s="8" t="inlineStr">
        <is>
          <t>HOLO AI</t>
        </is>
      </c>
      <c r="C19" s="9" t="n">
        <v>-42.95</v>
      </c>
      <c r="D19" s="8" t="inlineStr">
        <is>
          <t>EU</t>
        </is>
      </c>
      <c r="E19" s="8" t="inlineStr">
        <is>
          <t>gekoppeld</t>
        </is>
      </c>
      <c r="F19" s="8" t="inlineStr">
        <is>
          <t>Holo AI HOLO-202610-DB395</t>
        </is>
      </c>
    </row>
    <row r="20">
      <c r="A20" s="8" t="inlineStr">
        <is>
          <t>2026-10-09</t>
        </is>
      </c>
      <c r="B20" s="8" t="inlineStr">
        <is>
          <t>SHOPIFY* 601792977</t>
        </is>
      </c>
      <c r="C20" s="9" t="n">
        <v>-129.2</v>
      </c>
      <c r="D20" s="8" t="inlineStr">
        <is>
          <t>EU</t>
        </is>
      </c>
      <c r="E20" s="8" t="inlineStr">
        <is>
          <t>gekoppeld</t>
        </is>
      </c>
      <c r="F20" s="8" t="inlineStr">
        <is>
          <t>Shopify-factuur 601792977 (mail 9/10)</t>
        </is>
      </c>
    </row>
    <row r="21">
      <c r="A21" s="8" t="inlineStr">
        <is>
          <t>2026-10-11</t>
        </is>
      </c>
      <c r="B21" s="8" t="inlineStr">
        <is>
          <t xml:space="preserve">FACEBK *XX3GC6J8A4 IED04 X2K5 DUBLIN Betaling met </t>
        </is>
      </c>
      <c r="C21" s="9" t="n">
        <v>-800</v>
      </c>
      <c r="D21" s="8" t="inlineStr">
        <is>
          <t>EU</t>
        </is>
      </c>
      <c r="E21" s="8" t="inlineStr">
        <is>
          <t>gekoppeld</t>
        </is>
      </c>
      <c r="F21" s="8" t="inlineStr">
        <is>
          <t>Meta-kwitantie 28770796055939105-28874006408951408 (2026-10-11) – in Lucy/Yuki</t>
        </is>
      </c>
    </row>
    <row r="22">
      <c r="A22" s="8" t="inlineStr">
        <is>
          <t>2026-10-14</t>
        </is>
      </c>
      <c r="B22" s="8" t="inlineStr">
        <is>
          <t>ALIBABA.COM</t>
        </is>
      </c>
      <c r="C22" s="9" t="n">
        <v>-779.1</v>
      </c>
      <c r="D22" s="8" t="inlineStr">
        <is>
          <t>INVOER</t>
        </is>
      </c>
      <c r="E22" s="8" t="inlineStr">
        <is>
          <t>gekoppeld</t>
        </is>
      </c>
      <c r="F22" s="8" t="inlineStr">
        <is>
          <t>Alibaba-ontvangstbewijs order 33333736501041123 (filters FF007 250 + FF009L 240)</t>
        </is>
      </c>
    </row>
    <row r="23">
      <c r="A23" s="8" t="inlineStr">
        <is>
          <t>2026-10-15</t>
        </is>
      </c>
      <c r="B23" s="8" t="inlineStr">
        <is>
          <t xml:space="preserve">FACEBK *J3XKX8W7A4 IED04 X2K5 DUBLIN Betaling met </t>
        </is>
      </c>
      <c r="C23" s="9" t="n">
        <v>-800</v>
      </c>
      <c r="D23" s="8" t="inlineStr">
        <is>
          <t>EU</t>
        </is>
      </c>
      <c r="E23" s="8" t="inlineStr">
        <is>
          <t>gekoppeld</t>
        </is>
      </c>
      <c r="F23" s="8" t="inlineStr">
        <is>
          <t>Meta-kwitantie 28719082304443821-28719082454443806 (2026-10-14) – in Lucy/Yuki</t>
        </is>
      </c>
    </row>
    <row r="24">
      <c r="A24" s="8" t="inlineStr">
        <is>
          <t>2026-10-18</t>
        </is>
      </c>
      <c r="B24" s="8" t="inlineStr">
        <is>
          <t xml:space="preserve">FACEBK *U6Y6G7J7A4 IED04 X2K5 DUBLIN Betaling met </t>
        </is>
      </c>
      <c r="C24" s="9" t="n">
        <v>-800</v>
      </c>
      <c r="D24" s="8" t="inlineStr">
        <is>
          <t>EU</t>
        </is>
      </c>
      <c r="E24" s="8" t="inlineStr">
        <is>
          <t>gekoppeld</t>
        </is>
      </c>
      <c r="F24" s="8" t="inlineStr">
        <is>
          <t>Meta-kwitantie 28824246560594057-28961227476895959 (2026-10-18) – in Lucy/Yuki</t>
        </is>
      </c>
    </row>
    <row r="25">
      <c r="A25" s="8" t="inlineStr">
        <is>
          <t>2026-10-21</t>
        </is>
      </c>
      <c r="B25" s="8" t="inlineStr">
        <is>
          <t xml:space="preserve">FACEBK *L8VFT7J8A4 IED04 X2K5 DUBLIN Betaling met </t>
        </is>
      </c>
      <c r="C25" s="9" t="n">
        <v>-800</v>
      </c>
      <c r="D25" s="8" t="inlineStr">
        <is>
          <t>EU</t>
        </is>
      </c>
      <c r="E25" s="8" t="inlineStr">
        <is>
          <t>gekoppeld</t>
        </is>
      </c>
      <c r="F25" s="8" t="inlineStr">
        <is>
          <t>Meta-kwitantie 28937478365937539-29039294869089227 (2026-10-21) – in Lucy/Yuki</t>
        </is>
      </c>
    </row>
    <row r="26">
      <c r="A26" s="8" t="inlineStr">
        <is>
          <t>2026-10-25</t>
        </is>
      </c>
      <c r="B26" s="8" t="inlineStr">
        <is>
          <t>bpost parcel</t>
        </is>
      </c>
      <c r="C26" s="9" t="n">
        <v>-8.6</v>
      </c>
      <c r="D26" s="8" t="inlineStr">
        <is>
          <t>BE21</t>
        </is>
      </c>
      <c r="E26" s="8" t="inlineStr">
        <is>
          <t>gekoppeld</t>
        </is>
      </c>
      <c r="F26" s="8" t="inlineStr">
        <is>
          <t>bpost-bestelling 12897185 (26/10)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80" customWidth="1" min="6" max="6"/>
  </cols>
  <sheetData>
    <row r="1">
      <c r="A1" s="6" t="inlineStr">
        <is>
          <t>Leningen en rekening-courant op 2026-12-31 (uit de bank; voorwaarden te bevestigen)</t>
        </is>
      </c>
    </row>
    <row r="3">
      <c r="A3" s="7" t="inlineStr">
        <is>
          <t>Lening</t>
        </is>
      </c>
      <c r="B3" s="7" t="inlineStr">
        <is>
          <t>Opgenomen</t>
        </is>
      </c>
      <c r="C3" s="7" t="inlineStr">
        <is>
          <t>Afgelost</t>
        </is>
      </c>
      <c r="D3" s="7" t="inlineStr">
        <is>
          <t>Saldo</t>
        </is>
      </c>
      <c r="E3" s="7" t="inlineStr">
        <is>
          <t>Rente betaald</t>
        </is>
      </c>
      <c r="F3" s="7" t="inlineStr">
        <is>
          <t>Uitleg</t>
        </is>
      </c>
    </row>
    <row r="4">
      <c r="A4" s="8" t="inlineStr">
        <is>
          <t>KBC investeringskrediet 420-695088</t>
        </is>
      </c>
      <c r="B4" s="9" t="n">
        <v>19947</v>
      </c>
      <c r="C4" s="9" t="n">
        <v>2628.54</v>
      </c>
      <c r="D4" s="9" t="n">
        <v>17318.46</v>
      </c>
      <c r="E4" s="9" t="n">
        <v>509.66</v>
      </c>
      <c r="F4" s="8" t="inlineStr">
        <is>
          <t>36 mnd vanaf 15/02/2026, rente ±4,1% (bevestigen met kredietvoorstel); kapitaal en rente apart uit de maandelijkse betalingen</t>
        </is>
      </c>
    </row>
    <row r="5">
      <c r="A5" s="8" t="inlineStr">
        <is>
          <t>Creazy CommV (vennootschap Kaydee)</t>
        </is>
      </c>
      <c r="B5" s="9" t="n">
        <v>11176.42</v>
      </c>
      <c r="C5" s="9" t="n">
        <v>1176.42</v>
      </c>
      <c r="D5" s="9" t="n">
        <v>10000</v>
      </c>
      <c r="E5" s="9" t="n">
        <v>0</v>
      </c>
      <c r="F5" s="8" t="inlineStr">
        <is>
          <t>24/06 €10.000 lening + 25/05 €435,72 (reden?) ; 22/01 €1.176,42 = terugstorting btw die SmartPaw op 18/01 voor Creazy betaalde (verrekend)</t>
        </is>
      </c>
    </row>
    <row r="6">
      <c r="A6" s="8" t="inlineStr">
        <is>
          <t>Lening Kaydee</t>
        </is>
      </c>
      <c r="B6" s="9" t="n">
        <v>9000</v>
      </c>
      <c r="C6" s="9" t="n">
        <v>9000</v>
      </c>
      <c r="D6" s="9" t="n">
        <v>0</v>
      </c>
      <c r="E6" s="9" t="n">
        <v>0</v>
      </c>
      <c r="F6" s="8" t="inlineStr">
        <is>
          <t>€9.000 op 05/02 (Revolut), terug op 18/02. Nieuwe lening met intrest? → bevestigen</t>
        </is>
      </c>
    </row>
    <row r="7">
      <c r="A7" s="8" t="inlineStr">
        <is>
          <t>Rekening-courant Henri (voorraad uit inbreng jan 2024)</t>
        </is>
      </c>
      <c r="B7" s="9" t="n">
        <v>14000</v>
      </c>
      <c r="C7" s="9" t="n">
        <v>0</v>
      </c>
      <c r="D7" s="9" t="n">
        <v>14000</v>
      </c>
      <c r="E7" s="9" t="n">
        <v>0</v>
      </c>
      <c r="F7" s="8" t="inlineStr">
        <is>
          <t>oprichting / inbreng; voorwaarden, rente?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</cols>
  <sheetData>
    <row r="1">
      <c r="A1" s="6" t="inlineStr">
        <is>
          <t>Verkoop op afstand aan particulieren in andere EU-landen — drempel €10.000 per kalenderjaar (alle EU-landen samen, excl. btw)</t>
        </is>
      </c>
    </row>
    <row r="3">
      <c r="A3" s="6" t="inlineStr">
        <is>
          <t>2025 (VOF, okt-dec)</t>
        </is>
      </c>
    </row>
    <row r="4">
      <c r="A4" s="2" t="inlineStr">
        <is>
          <t>Nederland</t>
        </is>
      </c>
      <c r="B4" s="10" t="n">
        <v>746.62</v>
      </c>
    </row>
    <row r="5">
      <c r="A5" s="2" t="inlineStr">
        <is>
          <t>Frankrijk</t>
        </is>
      </c>
      <c r="B5" s="10" t="n">
        <v>1712</v>
      </c>
    </row>
    <row r="6">
      <c r="A6" s="2" t="inlineStr">
        <is>
          <t>Portugal</t>
        </is>
      </c>
      <c r="B6" s="10" t="n">
        <v>24.79</v>
      </c>
    </row>
    <row r="7">
      <c r="A7" s="6" t="inlineStr">
        <is>
          <t>Totaal</t>
        </is>
      </c>
      <c r="B7" s="4">
        <f>SUM(B4:B6)</f>
        <v/>
      </c>
      <c r="C7" s="2">
        <f>IF(B7&gt;10000,"DREMPEL OVERSCHREDEN: btw van het land van de klant via OSS","onder de drempel: Belgische btw")</f>
        <v/>
      </c>
    </row>
    <row r="9">
      <c r="A9" s="6" t="inlineStr">
        <is>
          <t>2026 (t/m 26/10)</t>
        </is>
      </c>
    </row>
    <row r="10">
      <c r="A10" s="2" t="inlineStr">
        <is>
          <t>Nederland</t>
        </is>
      </c>
      <c r="B10" s="10" t="n">
        <v>5911.04</v>
      </c>
    </row>
    <row r="11">
      <c r="A11" s="2" t="inlineStr">
        <is>
          <t>Frankrijk</t>
        </is>
      </c>
      <c r="B11" s="10" t="n">
        <v>13.08</v>
      </c>
    </row>
    <row r="12">
      <c r="A12" s="2" t="inlineStr">
        <is>
          <t>Luxemburg</t>
        </is>
      </c>
      <c r="B12" s="10" t="n">
        <v>117.54</v>
      </c>
    </row>
    <row r="13">
      <c r="A13" s="2" t="inlineStr">
        <is>
          <t>Portugal</t>
        </is>
      </c>
      <c r="B13" s="10" t="n">
        <v>19.82</v>
      </c>
    </row>
    <row r="14">
      <c r="A14" s="6" t="inlineStr">
        <is>
          <t>Totaal</t>
        </is>
      </c>
      <c r="B14" s="4">
        <f>SUM(B10:B13)</f>
        <v/>
      </c>
      <c r="C14" s="2">
        <f>IF(B14&gt;10000,"DREMPEL OVERSCHREDEN: btw van het land van de klant via OSS","onder de drempel: Belgische btw")</f>
        <v/>
      </c>
    </row>
    <row r="16">
      <c r="A16" s="5" t="inlineStr">
        <is>
          <t>bol.com-verkopen naar NL zijn hier niet meegeteld (land per bestelling onbekend) — Pro-count: tellen die mee voor de drempel?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2026-10-27T05:02:13Z</dcterms:created>
  <dcterms:modified xsi:type="dcterms:W3CDTF">2026-10-27T05:02:13Z</dcterms:modified>
</cp:coreProperties>
</file>