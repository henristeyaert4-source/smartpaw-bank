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envatting" sheetId="1" state="visible" r:id="rId1"/>
    <sheet name="Verkopen" sheetId="2" state="visible" r:id="rId2"/>
    <sheet name="Aankopen" sheetId="3" state="visible" r:id="rId3"/>
    <sheet name="Btw-voorbereiding" sheetId="4" state="visible" r:id="rId4"/>
    <sheet name="Bankafstemming" sheetId="5" state="visible" r:id="rId5"/>
    <sheet name="Documenten" sheetId="6" state="visible" r:id="rId6"/>
    <sheet name="Leningen" sheetId="7" state="visible" r:id="rId7"/>
    <sheet name="OSS" sheetId="8" state="visible" r:id="rId8"/>
  </sheets>
  <definedNames>
    <definedName name="_xlnm._FilterDatabase" localSheetId="2" hidden="1">'Aankopen'!$A$3:$J$27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Q4 2026</t>
        </is>
      </c>
    </row>
    <row r="2">
      <c r="A2" s="2" t="inlineStr">
        <is>
          <t>Voorbereid door het SmartPaw-financiënplatform op 2026-10-26. Voorbereiding: Pro-count controleert en dient in.</t>
        </is>
      </c>
    </row>
    <row r="4">
      <c r="A4" s="2" t="inlineStr">
        <is>
          <t>Verkopen Shopify (netto excl. btw)</t>
        </is>
      </c>
      <c r="B4" s="3">
        <f>Verkopen!F8</f>
        <v/>
      </c>
    </row>
    <row r="5">
      <c r="A5" s="2" t="inlineStr">
        <is>
          <t>Verkopen bol.com (netto excl. btw)</t>
        </is>
      </c>
      <c r="B5" s="3">
        <f>Verkopen!D15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COUNTIF(Aankopen!E4:E27,"NAKIJKEN")</f>
        <v/>
      </c>
    </row>
    <row r="12">
      <c r="A12" s="2" t="inlineStr">
        <is>
          <t>Verrichtingen zonder bewijs</t>
        </is>
      </c>
      <c r="B12" s="2" t="n">
        <v>12</v>
      </c>
    </row>
    <row r="14">
      <c r="A14" s="5" t="inlineStr">
        <is>
          <t>Tabbladen: Verkopen · Aankopen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Q4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113</v>
      </c>
      <c r="C4" s="9" t="n">
        <v>10809.47</v>
      </c>
      <c r="D4" s="9" t="n">
        <v>-1605.77</v>
      </c>
      <c r="E4" s="9" t="n">
        <v>-474.5</v>
      </c>
      <c r="F4" s="9" t="n">
        <v>8729.200000000001</v>
      </c>
      <c r="G4" s="9" t="n">
        <v>52.11</v>
      </c>
      <c r="H4" s="9" t="n">
        <v>1843.79</v>
      </c>
      <c r="I4" s="9" t="n">
        <v>10625.1</v>
      </c>
    </row>
    <row r="5">
      <c r="A5" s="8" t="inlineStr">
        <is>
          <t>Nederland</t>
        </is>
      </c>
      <c r="B5" s="8" t="n">
        <v>10</v>
      </c>
      <c r="C5" s="9" t="n">
        <v>760.52</v>
      </c>
      <c r="D5" s="9" t="n">
        <v>-127.37</v>
      </c>
      <c r="E5" s="9" t="n">
        <v>-250.06</v>
      </c>
      <c r="F5" s="9" t="n">
        <v>383.09</v>
      </c>
      <c r="G5" s="9" t="n">
        <v>14.88</v>
      </c>
      <c r="H5" s="9" t="n">
        <v>83.56999999999999</v>
      </c>
      <c r="I5" s="9" t="n">
        <v>481.54</v>
      </c>
    </row>
    <row r="6">
      <c r="A6" s="8" t="inlineStr">
        <is>
          <t>(geen land ingevuld)</t>
        </is>
      </c>
      <c r="B6" s="8" t="n">
        <v>2</v>
      </c>
      <c r="C6" s="9" t="n">
        <v>118.99</v>
      </c>
      <c r="D6" s="9" t="n">
        <v>-118.99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</row>
    <row r="7">
      <c r="A7" s="8" t="inlineStr">
        <is>
          <t>Portugal</t>
        </is>
      </c>
      <c r="B7" s="8" t="n">
        <v>1</v>
      </c>
      <c r="C7" s="9" t="n">
        <v>19.82</v>
      </c>
      <c r="D7" s="9" t="n">
        <v>0</v>
      </c>
      <c r="E7" s="9" t="n">
        <v>0</v>
      </c>
      <c r="F7" s="9" t="n">
        <v>19.82</v>
      </c>
      <c r="G7" s="9" t="n">
        <v>5.79</v>
      </c>
      <c r="H7" s="9" t="n">
        <v>5.37</v>
      </c>
      <c r="I7" s="9" t="n">
        <v>30.98</v>
      </c>
    </row>
    <row r="8">
      <c r="A8" s="6" t="inlineStr">
        <is>
          <t>Totaal Shopify</t>
        </is>
      </c>
      <c r="B8" s="6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4">
        <f>SUM(H4:H7)</f>
        <v/>
      </c>
      <c r="I8" s="4">
        <f>SUM(I4:I7)</f>
        <v/>
      </c>
    </row>
    <row r="10">
      <c r="A10" s="6" t="inlineStr">
        <is>
          <t>bol.com (uit de bol-facturen)</t>
        </is>
      </c>
    </row>
    <row r="11">
      <c r="A11" s="7" t="inlineStr">
        <is>
          <t>bol – maand</t>
        </is>
      </c>
      <c r="B11" s="7" t="inlineStr">
        <is>
          <t>Orders</t>
        </is>
      </c>
      <c r="C11" s="7" t="inlineStr">
        <is>
          <t>Omzet incl. btw (na retouren)</t>
        </is>
      </c>
      <c r="D11" s="7" t="inlineStr">
        <is>
          <t>Netto excl. btw</t>
        </is>
      </c>
      <c r="E11" s="7" t="inlineStr">
        <is>
          <t>Btw 21%</t>
        </is>
      </c>
      <c r="F11" s="7" t="inlineStr">
        <is>
          <t>Commissie (kost, verlegd)</t>
        </is>
      </c>
      <c r="G11" s="7" t="inlineStr">
        <is>
          <t>bol-ads (kost)</t>
        </is>
      </c>
      <c r="H11" s="7" t="inlineStr">
        <is>
          <t>Retourlabels (kost)</t>
        </is>
      </c>
    </row>
    <row r="12">
      <c r="A12" s="8" t="inlineStr">
        <is>
          <t>2026-10</t>
        </is>
      </c>
      <c r="B12" s="8" t="n">
        <v>0</v>
      </c>
      <c r="C12" s="9" t="n">
        <v>0</v>
      </c>
      <c r="D12" s="9">
        <f>C12/1.21</f>
        <v/>
      </c>
      <c r="E12" s="9">
        <f>C12-D12</f>
        <v/>
      </c>
      <c r="F12" s="9" t="n">
        <v>0</v>
      </c>
      <c r="G12" s="9" t="n">
        <v>0</v>
      </c>
      <c r="H12" s="9" t="n">
        <v>0</v>
      </c>
    </row>
    <row r="13">
      <c r="A13" s="8" t="inlineStr">
        <is>
          <t>2026-11</t>
        </is>
      </c>
      <c r="B13" s="8" t="n">
        <v>0</v>
      </c>
      <c r="C13" s="9" t="n">
        <v>0</v>
      </c>
      <c r="D13" s="9">
        <f>C13/1.21</f>
        <v/>
      </c>
      <c r="E13" s="9">
        <f>C13-D13</f>
        <v/>
      </c>
      <c r="F13" s="9" t="n">
        <v>0</v>
      </c>
      <c r="G13" s="9" t="n">
        <v>0</v>
      </c>
      <c r="H13" s="9" t="n">
        <v>0</v>
      </c>
    </row>
    <row r="14">
      <c r="A14" s="8" t="inlineStr">
        <is>
          <t>2026-12</t>
        </is>
      </c>
      <c r="B14" s="8" t="n">
        <v>0</v>
      </c>
      <c r="C14" s="9" t="n">
        <v>0</v>
      </c>
      <c r="D14" s="9">
        <f>C14/1.21</f>
        <v/>
      </c>
      <c r="E14" s="9">
        <f>C14-D14</f>
        <v/>
      </c>
      <c r="F14" s="9" t="n">
        <v>0</v>
      </c>
      <c r="G14" s="9" t="n">
        <v>0</v>
      </c>
      <c r="H14" s="9" t="n">
        <v>0</v>
      </c>
    </row>
    <row r="15">
      <c r="A15" s="6" t="inlineStr">
        <is>
          <t>Totaal bol</t>
        </is>
      </c>
      <c r="B15" s="6">
        <f>SUM(B12:B14)</f>
        <v/>
      </c>
      <c r="C15" s="4">
        <f>SUM(C12:C14)</f>
        <v/>
      </c>
      <c r="D15" s="4">
        <f>SUM(D12:D14)</f>
        <v/>
      </c>
      <c r="E15" s="4">
        <f>SUM(E12:E14)</f>
        <v/>
      </c>
      <c r="F15" s="4">
        <f>SUM(F12:F14)</f>
        <v/>
      </c>
      <c r="G15" s="4">
        <f>SUM(G12:G14)</f>
        <v/>
      </c>
      <c r="H15" s="4">
        <f>SUM(H12:H14)</f>
        <v/>
      </c>
    </row>
    <row r="17">
      <c r="A17" s="6" t="inlineStr">
        <is>
          <t>Per betaalwijze (Shopify)</t>
        </is>
      </c>
    </row>
    <row r="18">
      <c r="A18" s="7" t="inlineStr">
        <is>
          <t>Betaalwijze</t>
        </is>
      </c>
      <c r="B18" s="7" t="inlineStr">
        <is>
          <t>Bruto</t>
        </is>
      </c>
      <c r="C18" s="7" t="inlineStr">
        <is>
          <t>Terugbetaald</t>
        </is>
      </c>
      <c r="D18" s="7" t="inlineStr">
        <is>
          <t>Netto</t>
        </is>
      </c>
    </row>
    <row r="19">
      <c r="A19" s="8" t="inlineStr">
        <is>
          <t>Shopify Payments (kaart, Bancontact, Klarna, …)</t>
        </is>
      </c>
      <c r="B19" s="9" t="n">
        <v>12014.35</v>
      </c>
      <c r="C19" s="9" t="n">
        <v>-876.73</v>
      </c>
      <c r="D19" s="9" t="n">
        <v>11137.62</v>
      </c>
    </row>
    <row r="21">
      <c r="A21" s="2" t="inlineStr">
        <is>
          <t>Shopify Payments-kosten (fees)</t>
        </is>
      </c>
      <c r="D21" s="10" t="n">
        <v>171.43</v>
      </c>
    </row>
    <row r="22">
      <c r="A22" s="2" t="inlineStr">
        <is>
          <t>Verwachte uitbetalingen (netto − fees)</t>
        </is>
      </c>
      <c r="D22" s="10">
        <f>D19-D21</f>
        <v/>
      </c>
    </row>
    <row r="23">
      <c r="A23" s="2" t="inlineStr">
        <is>
          <t>Stortingen Shopify Payments op KBC in dit kwartaal</t>
        </is>
      </c>
      <c r="D23" s="10" t="n">
        <v>7891.52</v>
      </c>
    </row>
    <row r="24">
      <c r="A24" s="2" t="inlineStr">
        <is>
          <t>Verschil (timing: verkoop eind vorig kwartaal betaald in dit kwartaal, en omgekeerd)</t>
        </is>
      </c>
      <c r="D24" s="10">
        <f>D23-D22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Q4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2026-10-01</t>
        </is>
      </c>
      <c r="B4" s="8" t="inlineStr">
        <is>
          <t>KBC</t>
        </is>
      </c>
      <c r="C4" s="8" t="inlineStr">
        <is>
          <t>Yuki Works NV via Mollie</t>
        </is>
      </c>
      <c r="D4" s="8" t="inlineStr">
        <is>
          <t>Software &amp; abonnementen</t>
        </is>
      </c>
      <c r="E4" s="8" t="inlineStr">
        <is>
          <t>BE21</t>
        </is>
      </c>
      <c r="F4" s="8" t="inlineStr">
        <is>
          <t>82 (+ btw in 59)</t>
        </is>
      </c>
      <c r="G4" s="8" t="inlineStr">
        <is>
          <t>Belgische leverancier</t>
        </is>
      </c>
      <c r="H4" s="9" t="n">
        <v>2.42</v>
      </c>
      <c r="I4" s="10">
        <f>H4/1.21</f>
        <v/>
      </c>
      <c r="J4" s="10">
        <f>H4-I4</f>
        <v/>
      </c>
    </row>
    <row r="5">
      <c r="A5" s="8" t="inlineStr">
        <is>
          <t>2026-10-01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2026-10-01</t>
        </is>
      </c>
      <c r="B6" s="8" t="inlineStr">
        <is>
          <t>KBC-kaart</t>
        </is>
      </c>
      <c r="C6" s="8" t="inlineStr">
        <is>
          <t>METAPAY*MV4B</t>
        </is>
      </c>
      <c r="D6" s="8" t="inlineStr">
        <is>
          <t>Ads Meta</t>
        </is>
      </c>
      <c r="E6" s="8" t="inlineStr">
        <is>
          <t>EU</t>
        </is>
      </c>
      <c r="F6" s="8" t="inlineStr">
        <is>
          <t>88 / 55 / 59</t>
        </is>
      </c>
      <c r="G6" s="8" t="inlineStr">
        <is>
          <t>dienst Ierland/EU, verlegd</t>
        </is>
      </c>
      <c r="H6" s="9" t="n">
        <v>22.29</v>
      </c>
      <c r="I6" s="10">
        <f>H6</f>
        <v/>
      </c>
      <c r="J6" s="10">
        <f>I6*0.21</f>
        <v/>
      </c>
    </row>
    <row r="7">
      <c r="A7" s="8" t="inlineStr">
        <is>
          <t>2026-10-03</t>
        </is>
      </c>
      <c r="B7" s="8" t="inlineStr">
        <is>
          <t>KBC-kaart</t>
        </is>
      </c>
      <c r="C7" s="8" t="inlineStr">
        <is>
          <t>ALIBABA.COM</t>
        </is>
      </c>
      <c r="D7" s="8" t="inlineStr">
        <is>
          <t>Voorraad (fabriek)</t>
        </is>
      </c>
      <c r="E7" s="8" t="inlineStr">
        <is>
          <t>INVOER</t>
        </is>
      </c>
      <c r="F7" s="8" t="inlineStr">
        <is>
          <t>invoeraangifte (Widem)</t>
        </is>
      </c>
      <c r="G7" s="8" t="inlineStr">
        <is>
          <t>goederen China; btw via invoer (Widem)</t>
        </is>
      </c>
      <c r="H7" s="9" t="n">
        <v>333</v>
      </c>
      <c r="I7" s="10">
        <f>H7</f>
        <v/>
      </c>
      <c r="J7" s="10" t="n">
        <v>0</v>
      </c>
    </row>
    <row r="8">
      <c r="A8" s="8" t="inlineStr">
        <is>
          <t>2026-10-04</t>
        </is>
      </c>
      <c r="B8" s="8" t="inlineStr">
        <is>
          <t>KBC</t>
        </is>
      </c>
      <c r="C8" s="8" t="inlineStr">
        <is>
          <t>FACEBK *QVA4B7E8A4 IED04 X2K5 DUBLIN Betaling</t>
        </is>
      </c>
      <c r="D8" s="8" t="inlineStr">
        <is>
          <t>Ads Meta</t>
        </is>
      </c>
      <c r="E8" s="8" t="inlineStr">
        <is>
          <t>EU</t>
        </is>
      </c>
      <c r="F8" s="8" t="inlineStr">
        <is>
          <t>88 / 55 / 59</t>
        </is>
      </c>
      <c r="G8" s="8" t="inlineStr">
        <is>
          <t>dienst Ierland/EU, verlegd</t>
        </is>
      </c>
      <c r="H8" s="9" t="n">
        <v>800</v>
      </c>
      <c r="I8" s="10">
        <f>H8</f>
        <v/>
      </c>
      <c r="J8" s="10">
        <f>I8*0.21</f>
        <v/>
      </c>
    </row>
    <row r="9">
      <c r="A9" s="8" t="inlineStr">
        <is>
          <t>2026-10-05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2026-10-08</t>
        </is>
      </c>
      <c r="B10" s="8" t="inlineStr">
        <is>
          <t>Revolut</t>
        </is>
      </c>
      <c r="C10" s="8" t="inlineStr">
        <is>
          <t>Company Pro plan fee</t>
        </is>
      </c>
      <c r="D10" s="8" t="inlineStr">
        <is>
          <t>Software &amp; abonnementen</t>
        </is>
      </c>
      <c r="E10" s="8" t="inlineStr">
        <is>
          <t>GEEN</t>
        </is>
      </c>
      <c r="F10" s="8" t="inlineStr">
        <is>
          <t>82 zonder btw</t>
        </is>
      </c>
      <c r="G10" s="8" t="inlineStr">
        <is>
          <t>vrijgesteld / geen btw</t>
        </is>
      </c>
      <c r="H10" s="9" t="n">
        <v>35</v>
      </c>
      <c r="I10" s="10">
        <f>H10</f>
        <v/>
      </c>
      <c r="J10" s="10" t="n">
        <v>0</v>
      </c>
    </row>
    <row r="11">
      <c r="A11" s="8" t="inlineStr">
        <is>
          <t>2026-10-08</t>
        </is>
      </c>
      <c r="B11" s="8" t="inlineStr">
        <is>
          <t>KBC</t>
        </is>
      </c>
      <c r="C11" s="8" t="inlineStr">
        <is>
          <t>FACEBK *MYTGS7E8A4 IED04 X2K5 DUBLIN Betaling</t>
        </is>
      </c>
      <c r="D11" s="8" t="inlineStr">
        <is>
          <t>Ads Meta</t>
        </is>
      </c>
      <c r="E11" s="8" t="inlineStr">
        <is>
          <t>EU</t>
        </is>
      </c>
      <c r="F11" s="8" t="inlineStr">
        <is>
          <t>88 / 55 / 59</t>
        </is>
      </c>
      <c r="G11" s="8" t="inlineStr">
        <is>
          <t>dienst Ierland/EU, verlegd</t>
        </is>
      </c>
      <c r="H11" s="9" t="n">
        <v>517.01</v>
      </c>
      <c r="I11" s="10">
        <f>H11</f>
        <v/>
      </c>
      <c r="J11" s="10">
        <f>I11*0.21</f>
        <v/>
      </c>
    </row>
    <row r="12">
      <c r="A12" s="8" t="inlineStr">
        <is>
          <t>2026-10-08</t>
        </is>
      </c>
      <c r="B12" s="8" t="inlineStr">
        <is>
          <t>KBC-kaart</t>
        </is>
      </c>
      <c r="C12" s="8" t="inlineStr">
        <is>
          <t>HOLO AI</t>
        </is>
      </c>
      <c r="D12" s="8" t="inlineStr">
        <is>
          <t>Marketing &amp; content</t>
        </is>
      </c>
      <c r="E12" s="8" t="inlineStr">
        <is>
          <t>EU</t>
        </is>
      </c>
      <c r="F12" s="8" t="inlineStr">
        <is>
          <t>88 / 55 / 59</t>
        </is>
      </c>
      <c r="G12" s="8" t="inlineStr">
        <is>
          <t>dienst Ierland/EU, verlegd</t>
        </is>
      </c>
      <c r="H12" s="9" t="n">
        <v>42.95</v>
      </c>
      <c r="I12" s="10">
        <f>H12</f>
        <v/>
      </c>
      <c r="J12" s="10">
        <f>I12*0.21</f>
        <v/>
      </c>
    </row>
    <row r="13">
      <c r="A13" s="8" t="inlineStr">
        <is>
          <t>2026-10-09</t>
        </is>
      </c>
      <c r="B13" s="8" t="inlineStr">
        <is>
          <t>KBC-kaart</t>
        </is>
      </c>
      <c r="C13" s="8" t="inlineStr">
        <is>
          <t>SHOPIFY* 601792977</t>
        </is>
      </c>
      <c r="D13" s="8" t="inlineStr">
        <is>
          <t>Software &amp; abonnementen</t>
        </is>
      </c>
      <c r="E13" s="8" t="inlineStr">
        <is>
          <t>EU</t>
        </is>
      </c>
      <c r="F13" s="8" t="inlineStr">
        <is>
          <t>88 / 55 / 59</t>
        </is>
      </c>
      <c r="G13" s="8" t="inlineStr">
        <is>
          <t>dienst Ierland/EU, verlegd</t>
        </is>
      </c>
      <c r="H13" s="9" t="n">
        <v>129.2</v>
      </c>
      <c r="I13" s="10">
        <f>H13</f>
        <v/>
      </c>
      <c r="J13" s="10">
        <f>I13*0.21</f>
        <v/>
      </c>
    </row>
    <row r="14">
      <c r="A14" s="8" t="inlineStr">
        <is>
          <t>2026-10-10</t>
        </is>
      </c>
      <c r="B14" s="8" t="inlineStr">
        <is>
          <t>KBC-kaart</t>
        </is>
      </c>
      <c r="C14" s="8" t="inlineStr">
        <is>
          <t>KLAVIYO INC. SOFTWARE</t>
        </is>
      </c>
      <c r="D14" s="8" t="inlineStr">
        <is>
          <t>Software &amp; abonnementen</t>
        </is>
      </c>
      <c r="E14" s="8" t="inlineStr">
        <is>
          <t>NONEU</t>
        </is>
      </c>
      <c r="F14" s="8" t="inlineStr">
        <is>
          <t>87 / 56 / 59</t>
        </is>
      </c>
      <c r="G14" s="8" t="inlineStr">
        <is>
          <t>dienst buiten EU, verlegd</t>
        </is>
      </c>
      <c r="H14" s="9" t="n">
        <v>63.59</v>
      </c>
      <c r="I14" s="10">
        <f>H14</f>
        <v/>
      </c>
      <c r="J14" s="10">
        <f>I14*0.21</f>
        <v/>
      </c>
    </row>
    <row r="15">
      <c r="A15" s="8" t="inlineStr">
        <is>
          <t>2026-10-10</t>
        </is>
      </c>
      <c r="B15" s="8" t="inlineStr">
        <is>
          <t>KBC-kaart</t>
        </is>
      </c>
      <c r="C15" s="8" t="inlineStr">
        <is>
          <t>GODADDY*#7038004865</t>
        </is>
      </c>
      <c r="D15" s="8" t="inlineStr">
        <is>
          <t>Software &amp; abonnementen</t>
        </is>
      </c>
      <c r="E15" s="8" t="inlineStr">
        <is>
          <t>NONEU</t>
        </is>
      </c>
      <c r="F15" s="8" t="inlineStr">
        <is>
          <t>87 / 56 / 59</t>
        </is>
      </c>
      <c r="G15" s="8" t="inlineStr">
        <is>
          <t>dienst buiten EU, verlegd</t>
        </is>
      </c>
      <c r="H15" s="9" t="n">
        <v>167.76</v>
      </c>
      <c r="I15" s="10">
        <f>H15</f>
        <v/>
      </c>
      <c r="J15" s="10">
        <f>I15*0.21</f>
        <v/>
      </c>
    </row>
    <row r="16">
      <c r="A16" s="8" t="inlineStr">
        <is>
          <t>2026-10-11</t>
        </is>
      </c>
      <c r="B16" s="8" t="inlineStr">
        <is>
          <t>KBC</t>
        </is>
      </c>
      <c r="C16" s="8" t="inlineStr">
        <is>
          <t>FACEBK *XX3GC6J8A4 IED04 X2K5 DUBLIN Betaling</t>
        </is>
      </c>
      <c r="D16" s="8" t="inlineStr">
        <is>
          <t>Ads Meta</t>
        </is>
      </c>
      <c r="E16" s="8" t="inlineStr">
        <is>
          <t>EU</t>
        </is>
      </c>
      <c r="F16" s="8" t="inlineStr">
        <is>
          <t>88 / 55 / 59</t>
        </is>
      </c>
      <c r="G16" s="8" t="inlineStr">
        <is>
          <t>dienst Ierland/EU, verlegd</t>
        </is>
      </c>
      <c r="H16" s="9" t="n">
        <v>800</v>
      </c>
      <c r="I16" s="10">
        <f>H16</f>
        <v/>
      </c>
      <c r="J16" s="10">
        <f>I16*0.21</f>
        <v/>
      </c>
    </row>
    <row r="17">
      <c r="A17" s="8" t="inlineStr">
        <is>
          <t>2026-10-14</t>
        </is>
      </c>
      <c r="B17" s="8" t="inlineStr">
        <is>
          <t>KBC-kaart</t>
        </is>
      </c>
      <c r="C17" s="8" t="inlineStr">
        <is>
          <t>ALIBABA.COM</t>
        </is>
      </c>
      <c r="D17" s="8" t="inlineStr">
        <is>
          <t>Voorraad (fabriek)</t>
        </is>
      </c>
      <c r="E17" s="8" t="inlineStr">
        <is>
          <t>INVOER</t>
        </is>
      </c>
      <c r="F17" s="8" t="inlineStr">
        <is>
          <t>invoeraangifte (Widem)</t>
        </is>
      </c>
      <c r="G17" s="8" t="inlineStr">
        <is>
          <t>goederen China; btw via invoer (Widem)</t>
        </is>
      </c>
      <c r="H17" s="9" t="n">
        <v>779.1</v>
      </c>
      <c r="I17" s="10">
        <f>H17</f>
        <v/>
      </c>
      <c r="J17" s="10" t="n">
        <v>0</v>
      </c>
    </row>
    <row r="18">
      <c r="A18" s="8" t="inlineStr">
        <is>
          <t>2026-10-15</t>
        </is>
      </c>
      <c r="B18" s="8" t="inlineStr">
        <is>
          <t>KBC</t>
        </is>
      </c>
      <c r="C18" s="8" t="inlineStr">
        <is>
          <t>HIGGSFIELD INC. US94105 SAN FRANCISCO Betalin</t>
        </is>
      </c>
      <c r="D18" s="8" t="inlineStr">
        <is>
          <t>Marketing &amp; content</t>
        </is>
      </c>
      <c r="E18" s="8" t="inlineStr">
        <is>
          <t>NONEU</t>
        </is>
      </c>
      <c r="F18" s="8" t="inlineStr">
        <is>
          <t>87 / 56 / 59</t>
        </is>
      </c>
      <c r="G18" s="8" t="inlineStr">
        <is>
          <t>dienst buiten EU, verlegd</t>
        </is>
      </c>
      <c r="H18" s="9" t="n">
        <v>67.84</v>
      </c>
      <c r="I18" s="10">
        <f>H18</f>
        <v/>
      </c>
      <c r="J18" s="10">
        <f>I18*0.21</f>
        <v/>
      </c>
    </row>
    <row r="19">
      <c r="A19" s="8" t="inlineStr">
        <is>
          <t>2026-10-15</t>
        </is>
      </c>
      <c r="B19" s="8" t="inlineStr">
        <is>
          <t>KBC</t>
        </is>
      </c>
      <c r="C19" s="8" t="inlineStr">
        <is>
          <t>FACEBK *J3XKX8W7A4 IED04 X2K5 DUBLIN Betaling</t>
        </is>
      </c>
      <c r="D19" s="8" t="inlineStr">
        <is>
          <t>Ads Meta</t>
        </is>
      </c>
      <c r="E19" s="8" t="inlineStr">
        <is>
          <t>EU</t>
        </is>
      </c>
      <c r="F19" s="8" t="inlineStr">
        <is>
          <t>88 / 55 / 59</t>
        </is>
      </c>
      <c r="G19" s="8" t="inlineStr">
        <is>
          <t>dienst Ierland/EU, verlegd</t>
        </is>
      </c>
      <c r="H19" s="9" t="n">
        <v>800</v>
      </c>
      <c r="I19" s="10">
        <f>H19</f>
        <v/>
      </c>
      <c r="J19" s="10">
        <f>I19*0.21</f>
        <v/>
      </c>
    </row>
    <row r="20">
      <c r="A20" s="8" t="inlineStr">
        <is>
          <t>2026-10-15</t>
        </is>
      </c>
      <c r="B20" s="8" t="inlineStr">
        <is>
          <t>KBC</t>
        </is>
      </c>
      <c r="C20" s="8" t="inlineStr">
        <is>
          <t>SMARTPAW VOF</t>
        </is>
      </c>
      <c r="D20" s="8" t="inlineStr">
        <is>
          <t>Aflossing KBC-krediet</t>
        </is>
      </c>
      <c r="E20" s="8" t="inlineStr">
        <is>
          <t>FIN</t>
        </is>
      </c>
      <c r="F20" s="8" t="inlineStr">
        <is>
          <t>—</t>
        </is>
      </c>
      <c r="G20" s="8" t="inlineStr">
        <is>
          <t>geen aankoop</t>
        </is>
      </c>
      <c r="H20" s="9" t="n">
        <v>530.4</v>
      </c>
      <c r="I20" s="10">
        <f>H20</f>
        <v/>
      </c>
      <c r="J20" s="10" t="n">
        <v>0</v>
      </c>
    </row>
    <row r="21">
      <c r="A21" s="8" t="inlineStr">
        <is>
          <t>2026-10-15</t>
        </is>
      </c>
      <c r="B21" s="8" t="inlineStr">
        <is>
          <t>KBC</t>
        </is>
      </c>
      <c r="C21" s="8" t="inlineStr">
        <is>
          <t>SMARTPAW VOF</t>
        </is>
      </c>
      <c r="D21" s="8" t="inlineStr">
        <is>
          <t>Rente KBC-krediet</t>
        </is>
      </c>
      <c r="E21" s="8" t="inlineStr">
        <is>
          <t>GEEN</t>
        </is>
      </c>
      <c r="F21" s="8" t="inlineStr">
        <is>
          <t>82 zonder btw</t>
        </is>
      </c>
      <c r="G21" s="8" t="inlineStr">
        <is>
          <t>vrijgesteld / geen btw</t>
        </is>
      </c>
      <c r="H21" s="9" t="n">
        <v>58.47</v>
      </c>
      <c r="I21" s="10">
        <f>H21</f>
        <v/>
      </c>
      <c r="J21" s="10" t="n">
        <v>0</v>
      </c>
    </row>
    <row r="22">
      <c r="A22" s="8" t="inlineStr">
        <is>
          <t>2026-10-15</t>
        </is>
      </c>
      <c r="B22" s="8" t="inlineStr">
        <is>
          <t>KBC</t>
        </is>
      </c>
      <c r="C22" s="8" t="inlineStr">
        <is>
          <t>HIGGSFIELD INC. US94105 SAN FRANCISCO Betalin</t>
        </is>
      </c>
      <c r="D22" s="8" t="inlineStr">
        <is>
          <t>Marketing &amp; content</t>
        </is>
      </c>
      <c r="E22" s="8" t="inlineStr">
        <is>
          <t>NONEU</t>
        </is>
      </c>
      <c r="F22" s="8" t="inlineStr">
        <is>
          <t>87 / 56 / 59</t>
        </is>
      </c>
      <c r="G22" s="8" t="inlineStr">
        <is>
          <t>dienst buiten EU, verlegd</t>
        </is>
      </c>
      <c r="H22" s="9" t="n">
        <v>36.2</v>
      </c>
      <c r="I22" s="10">
        <f>H22</f>
        <v/>
      </c>
      <c r="J22" s="10">
        <f>I22*0.21</f>
        <v/>
      </c>
    </row>
    <row r="23">
      <c r="A23" s="8" t="inlineStr">
        <is>
          <t>2026-10-18</t>
        </is>
      </c>
      <c r="B23" s="8" t="inlineStr">
        <is>
          <t>KBC</t>
        </is>
      </c>
      <c r="C23" s="8" t="inlineStr">
        <is>
          <t>FACEBK *U6Y6G7J7A4 IED04 X2K5 DUBLIN Betaling</t>
        </is>
      </c>
      <c r="D23" s="8" t="inlineStr">
        <is>
          <t>Ads Meta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800</v>
      </c>
      <c r="I23" s="10">
        <f>H23</f>
        <v/>
      </c>
      <c r="J23" s="10">
        <f>I23*0.21</f>
        <v/>
      </c>
    </row>
    <row r="24">
      <c r="A24" s="8" t="inlineStr">
        <is>
          <t>2026-10-19</t>
        </is>
      </c>
      <c r="B24" s="8" t="inlineStr">
        <is>
          <t>KBC</t>
        </is>
      </c>
      <c r="C24" s="8" t="inlineStr">
        <is>
          <t>HIGGSFIELD INC. US94105 SAN FRANCISCO Betalin</t>
        </is>
      </c>
      <c r="D24" s="8" t="inlineStr">
        <is>
          <t>Marketing &amp; content</t>
        </is>
      </c>
      <c r="E24" s="8" t="inlineStr">
        <is>
          <t>NONEU</t>
        </is>
      </c>
      <c r="F24" s="8" t="inlineStr">
        <is>
          <t>87 / 56 / 59</t>
        </is>
      </c>
      <c r="G24" s="8" t="inlineStr">
        <is>
          <t>dienst buiten EU, verlegd</t>
        </is>
      </c>
      <c r="H24" s="9" t="n">
        <v>72</v>
      </c>
      <c r="I24" s="10">
        <f>H24</f>
        <v/>
      </c>
      <c r="J24" s="10">
        <f>I24*0.21</f>
        <v/>
      </c>
    </row>
    <row r="25">
      <c r="A25" s="8" t="inlineStr">
        <is>
          <t>2026-10-20</t>
        </is>
      </c>
      <c r="B25" s="8" t="inlineStr">
        <is>
          <t>KBC</t>
        </is>
      </c>
      <c r="C25" s="8" t="inlineStr">
        <is>
          <t>BPOST NV BE1000 BRUXELLES Betaling met KBC-De</t>
        </is>
      </c>
      <c r="D25" s="8" t="inlineStr">
        <is>
          <t>Verzending &amp; retours (overig)</t>
        </is>
      </c>
      <c r="E25" s="8" t="inlineStr">
        <is>
          <t>BE21</t>
        </is>
      </c>
      <c r="F25" s="8" t="inlineStr">
        <is>
          <t>82 (+ btw in 59)</t>
        </is>
      </c>
      <c r="G25" s="8" t="inlineStr">
        <is>
          <t>Belgische leverancier</t>
        </is>
      </c>
      <c r="H25" s="9" t="n">
        <v>6.78</v>
      </c>
      <c r="I25" s="10">
        <f>H25/1.21</f>
        <v/>
      </c>
      <c r="J25" s="10">
        <f>H25-I25</f>
        <v/>
      </c>
    </row>
    <row r="26">
      <c r="A26" s="8" t="inlineStr">
        <is>
          <t>2026-10-21</t>
        </is>
      </c>
      <c r="B26" s="8" t="inlineStr">
        <is>
          <t>KBC</t>
        </is>
      </c>
      <c r="C26" s="8" t="inlineStr">
        <is>
          <t>FACEBK *L8VFT7J8A4 IED04 X2K5 DUBLIN Betaling</t>
        </is>
      </c>
      <c r="D26" s="8" t="inlineStr">
        <is>
          <t>Ads Meta</t>
        </is>
      </c>
      <c r="E26" s="8" t="inlineStr">
        <is>
          <t>EU</t>
        </is>
      </c>
      <c r="F26" s="8" t="inlineStr">
        <is>
          <t>88 / 55 / 59</t>
        </is>
      </c>
      <c r="G26" s="8" t="inlineStr">
        <is>
          <t>dienst Ierland/EU, verlegd</t>
        </is>
      </c>
      <c r="H26" s="9" t="n">
        <v>800</v>
      </c>
      <c r="I26" s="10">
        <f>H26</f>
        <v/>
      </c>
      <c r="J26" s="10">
        <f>I26*0.21</f>
        <v/>
      </c>
    </row>
    <row r="27">
      <c r="A27" s="8" t="inlineStr">
        <is>
          <t>2026-10-23</t>
        </is>
      </c>
      <c r="B27" s="8" t="inlineStr">
        <is>
          <t>KBC-kaart</t>
        </is>
      </c>
      <c r="C27" s="8" t="inlineStr">
        <is>
          <t>FACEBK *CNGZB8S7A4</t>
        </is>
      </c>
      <c r="D27" s="8" t="inlineStr">
        <is>
          <t>Ads Meta</t>
        </is>
      </c>
      <c r="E27" s="8" t="inlineStr">
        <is>
          <t>EU</t>
        </is>
      </c>
      <c r="F27" s="8" t="inlineStr">
        <is>
          <t>88 / 55 / 59</t>
        </is>
      </c>
      <c r="G27" s="8" t="inlineStr">
        <is>
          <t>dienst Ierland/EU, verlegd</t>
        </is>
      </c>
      <c r="H27" s="9" t="n">
        <v>621.34</v>
      </c>
      <c r="I27" s="10">
        <f>H27</f>
        <v/>
      </c>
      <c r="J27" s="10">
        <f>I27*0.21</f>
        <v/>
      </c>
    </row>
  </sheetData>
  <autoFilter ref="A3:J2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Q4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Verkopen!F8+Verkopen!G8/1.21+Verkopen!D15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Verkopen!H8+Verkopen!E15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SUMIFS(Aankopen!$I$4:$I$27,Aankopen!$E$4:$E$27,"BE21")+SUMIFS(Aankopen!$I$4:$I$27,Aankopen!$E$4:$E$27,"BE21NA")+SUMIFS(Aankopen!$I$4:$I$27,Aankopen!$E$4:$E$27,"GEEN")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SUMIFS(Aankopen!$I$4:$I$27,Aankopen!$E$4:$E$27,"EU")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SUMIFS(Aankopen!$J$4:$J$27,Aankopen!$E$4:$E$27,"EU")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SUMIFS(Aankopen!$I$4:$I$27,Aankopen!$E$4:$E$27,"NONEU")+0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SUMIFS(Aankopen!$J$4:$J$27,Aankopen!$E$4:$E$27,"NONEU")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SUMIFS(Aankopen!$J$4:$J$27,Aankopen!$E$4:$E$27,"BE21")+C8+C10+C15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WID202608397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Q4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-331.19</v>
      </c>
      <c r="D4" s="9" t="n">
        <v>8962.110000000001</v>
      </c>
      <c r="E4" s="9" t="n">
        <v>-6458.74</v>
      </c>
      <c r="F4" s="9" t="n">
        <v>2172.18</v>
      </c>
      <c r="G4" s="8" t="n">
        <v>33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0</v>
      </c>
      <c r="D5" s="9" t="n">
        <v>35</v>
      </c>
      <c r="E5" s="9" t="n">
        <v>-35</v>
      </c>
      <c r="F5" s="9" t="n">
        <v>0</v>
      </c>
      <c r="G5" s="8" t="n">
        <v>2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569.84</v>
      </c>
      <c r="D6" s="9" t="n">
        <v>0</v>
      </c>
      <c r="E6" s="9" t="n">
        <v>-39.15</v>
      </c>
      <c r="F6" s="9" t="n">
        <v>530.6900000000001</v>
      </c>
      <c r="G6" s="8" t="n">
        <v>1</v>
      </c>
      <c r="H6" s="10">
        <f>C6+D6+E6-F6</f>
        <v/>
      </c>
    </row>
    <row r="8">
      <c r="A8" s="5" t="inlineStr">
        <is>
          <t>Saldi teruggerekend vanaf de bankstand van 2026-10-26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2159.23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10 gekoppeld, 18 verklaard (geen factuur nodig, niet in deze lijst), 12 ontbreken. Facturen zitten in de map Facturen_Q4-2026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2026-10-01</t>
        </is>
      </c>
      <c r="B4" s="8" t="inlineStr">
        <is>
          <t>Yuki Works NV via Mollie</t>
        </is>
      </c>
      <c r="C4" s="9" t="n">
        <v>-2.42</v>
      </c>
      <c r="D4" s="8" t="inlineStr">
        <is>
          <t>BE21</t>
        </is>
      </c>
      <c r="E4" s="8" t="inlineStr">
        <is>
          <t>ontbreekt</t>
        </is>
      </c>
      <c r="F4" s="8" t="inlineStr"/>
    </row>
    <row r="5">
      <c r="A5" s="8" t="inlineStr">
        <is>
          <t>2026-10-01</t>
        </is>
      </c>
      <c r="B5" s="8" t="inlineStr">
        <is>
          <t>GOOGLE*WORKSPACE SMART IED02 R296 CC GOOGLE.COM Be</t>
        </is>
      </c>
      <c r="C5" s="9" t="n">
        <v>-75.90000000000001</v>
      </c>
      <c r="D5" s="8" t="inlineStr">
        <is>
          <t>EU</t>
        </is>
      </c>
      <c r="E5" s="8" t="inlineStr">
        <is>
          <t>ontbreekt</t>
        </is>
      </c>
      <c r="F5" s="8" t="inlineStr"/>
    </row>
    <row r="6">
      <c r="A6" s="8" t="inlineStr">
        <is>
          <t>2026-10-01</t>
        </is>
      </c>
      <c r="B6" s="8" t="inlineStr">
        <is>
          <t>METAPAY*MV4B</t>
        </is>
      </c>
      <c r="C6" s="9" t="n">
        <v>-22.29</v>
      </c>
      <c r="D6" s="8" t="inlineStr">
        <is>
          <t>EU</t>
        </is>
      </c>
      <c r="E6" s="8" t="inlineStr">
        <is>
          <t>ontbreekt</t>
        </is>
      </c>
      <c r="F6" s="8" t="inlineStr"/>
    </row>
    <row r="7">
      <c r="A7" s="8" t="inlineStr">
        <is>
          <t>2026-10-05</t>
        </is>
      </c>
      <c r="B7" s="8" t="inlineStr">
        <is>
          <t>Pro-Count</t>
        </is>
      </c>
      <c r="C7" s="9" t="n">
        <v>-242</v>
      </c>
      <c r="D7" s="8" t="inlineStr">
        <is>
          <t>BE21</t>
        </is>
      </c>
      <c r="E7" s="8" t="inlineStr">
        <is>
          <t>ontbreekt</t>
        </is>
      </c>
      <c r="F7" s="8" t="inlineStr"/>
    </row>
    <row r="8">
      <c r="A8" s="8" t="inlineStr">
        <is>
          <t>2026-10-08</t>
        </is>
      </c>
      <c r="B8" s="8" t="inlineStr">
        <is>
          <t>Company Pro plan fee</t>
        </is>
      </c>
      <c r="C8" s="9" t="n">
        <v>-35</v>
      </c>
      <c r="D8" s="8" t="inlineStr">
        <is>
          <t>GEEN</t>
        </is>
      </c>
      <c r="E8" s="8" t="inlineStr">
        <is>
          <t>ontbreekt</t>
        </is>
      </c>
      <c r="F8" s="8" t="inlineStr"/>
    </row>
    <row r="9">
      <c r="A9" s="8" t="inlineStr">
        <is>
          <t>2026-10-10</t>
        </is>
      </c>
      <c r="B9" s="8" t="inlineStr">
        <is>
          <t>KLAVIYO INC. SOFTWARE</t>
        </is>
      </c>
      <c r="C9" s="9" t="n">
        <v>-63.59</v>
      </c>
      <c r="D9" s="8" t="inlineStr">
        <is>
          <t>NONEU</t>
        </is>
      </c>
      <c r="E9" s="8" t="inlineStr">
        <is>
          <t>ontbreekt</t>
        </is>
      </c>
      <c r="F9" s="8" t="inlineStr"/>
    </row>
    <row r="10">
      <c r="A10" s="8" t="inlineStr">
        <is>
          <t>2026-10-10</t>
        </is>
      </c>
      <c r="B10" s="8" t="inlineStr">
        <is>
          <t>GODADDY*#7038004865</t>
        </is>
      </c>
      <c r="C10" s="9" t="n">
        <v>-167.76</v>
      </c>
      <c r="D10" s="8" t="inlineStr">
        <is>
          <t>NONEU</t>
        </is>
      </c>
      <c r="E10" s="8" t="inlineStr">
        <is>
          <t>ontbreekt</t>
        </is>
      </c>
      <c r="F10" s="8" t="inlineStr"/>
    </row>
    <row r="11">
      <c r="A11" s="8" t="inlineStr">
        <is>
          <t>2026-10-15</t>
        </is>
      </c>
      <c r="B11" s="8" t="inlineStr">
        <is>
          <t>HIGGSFIELD INC. US94105 SAN FRANCISCO Betaling met</t>
        </is>
      </c>
      <c r="C11" s="9" t="n">
        <v>-67.84</v>
      </c>
      <c r="D11" s="8" t="inlineStr">
        <is>
          <t>NONEU</t>
        </is>
      </c>
      <c r="E11" s="8" t="inlineStr">
        <is>
          <t>ontbreekt</t>
        </is>
      </c>
      <c r="F11" s="8" t="inlineStr"/>
    </row>
    <row r="12">
      <c r="A12" s="8" t="inlineStr">
        <is>
          <t>2026-10-15</t>
        </is>
      </c>
      <c r="B12" s="8" t="inlineStr">
        <is>
          <t>HIGGSFIELD INC. US94105 SAN FRANCISCO Betaling met</t>
        </is>
      </c>
      <c r="C12" s="9" t="n">
        <v>-36.2</v>
      </c>
      <c r="D12" s="8" t="inlineStr">
        <is>
          <t>NONEU</t>
        </is>
      </c>
      <c r="E12" s="8" t="inlineStr">
        <is>
          <t>ontbreekt</t>
        </is>
      </c>
      <c r="F12" s="8" t="inlineStr"/>
    </row>
    <row r="13">
      <c r="A13" s="8" t="inlineStr">
        <is>
          <t>2026-10-19</t>
        </is>
      </c>
      <c r="B13" s="8" t="inlineStr">
        <is>
          <t>HIGGSFIELD INC. US94105 SAN FRANCISCO Betaling met</t>
        </is>
      </c>
      <c r="C13" s="9" t="n">
        <v>-72</v>
      </c>
      <c r="D13" s="8" t="inlineStr">
        <is>
          <t>NONEU</t>
        </is>
      </c>
      <c r="E13" s="8" t="inlineStr">
        <is>
          <t>ontbreekt</t>
        </is>
      </c>
      <c r="F13" s="8" t="inlineStr"/>
    </row>
    <row r="14">
      <c r="A14" s="8" t="inlineStr">
        <is>
          <t>2026-10-20</t>
        </is>
      </c>
      <c r="B14" s="8" t="inlineStr">
        <is>
          <t>BPOST NV BE1000 BRUXELLES Betaling met KBC-Debetka</t>
        </is>
      </c>
      <c r="C14" s="9" t="n">
        <v>-6.78</v>
      </c>
      <c r="D14" s="8" t="inlineStr">
        <is>
          <t>BE21</t>
        </is>
      </c>
      <c r="E14" s="8" t="inlineStr">
        <is>
          <t>ontbreekt</t>
        </is>
      </c>
      <c r="F14" s="8" t="inlineStr"/>
    </row>
    <row r="15">
      <c r="A15" s="8" t="inlineStr">
        <is>
          <t>2026-10-23</t>
        </is>
      </c>
      <c r="B15" s="8" t="inlineStr">
        <is>
          <t>FACEBK *CNGZB8S7A4</t>
        </is>
      </c>
      <c r="C15" s="9" t="n">
        <v>-621.34</v>
      </c>
      <c r="D15" s="8" t="inlineStr">
        <is>
          <t>EU</t>
        </is>
      </c>
      <c r="E15" s="8" t="inlineStr">
        <is>
          <t>ontbreekt</t>
        </is>
      </c>
      <c r="F15" s="8" t="inlineStr"/>
    </row>
    <row r="16">
      <c r="A16" s="8" t="inlineStr">
        <is>
          <t>2026-10-03</t>
        </is>
      </c>
      <c r="B16" s="8" t="inlineStr">
        <is>
          <t>ALIBABA.COM</t>
        </is>
      </c>
      <c r="C16" s="9" t="n">
        <v>-333</v>
      </c>
      <c r="D16" s="8" t="inlineStr">
        <is>
          <t>INVOER</t>
        </is>
      </c>
      <c r="E16" s="8" t="inlineStr">
        <is>
          <t>gekoppeld</t>
        </is>
      </c>
      <c r="F16" s="8" t="inlineStr">
        <is>
          <t>Alibaba-ontvangstbewijs order 33333736501041123 (filters FF007 250 + FF009L 240)</t>
        </is>
      </c>
    </row>
    <row r="17">
      <c r="A17" s="8" t="inlineStr">
        <is>
          <t>2026-10-04</t>
        </is>
      </c>
      <c r="B17" s="8" t="inlineStr">
        <is>
          <t xml:space="preserve">FACEBK *QVA4B7E8A4 IED04 X2K5 DUBLIN Betaling met </t>
        </is>
      </c>
      <c r="C17" s="9" t="n">
        <v>-800</v>
      </c>
      <c r="D17" s="8" t="inlineStr">
        <is>
          <t>EU</t>
        </is>
      </c>
      <c r="E17" s="8" t="inlineStr">
        <is>
          <t>gekoppeld</t>
        </is>
      </c>
      <c r="F17" s="8" t="inlineStr">
        <is>
          <t>Meta-kwitantie 28560783836940336-28560783956940324 (2026-10-04) – in Lucy/Yuki</t>
        </is>
      </c>
    </row>
    <row r="18">
      <c r="A18" s="8" t="inlineStr">
        <is>
          <t>2026-10-08</t>
        </is>
      </c>
      <c r="B18" s="8" t="inlineStr">
        <is>
          <t xml:space="preserve">FACEBK *MYTGS7E8A4 IED04 X2K5 DUBLIN Betaling met </t>
        </is>
      </c>
      <c r="C18" s="9" t="n">
        <v>-517.01</v>
      </c>
      <c r="D18" s="8" t="inlineStr">
        <is>
          <t>EU</t>
        </is>
      </c>
      <c r="E18" s="8" t="inlineStr">
        <is>
          <t>gekoppeld</t>
        </is>
      </c>
      <c r="F18" s="8" t="inlineStr">
        <is>
          <t>Meta-kwitantie 28823801243971925-28794383930246982 (2026-10-08) – in Lucy/Yuki</t>
        </is>
      </c>
    </row>
    <row r="19">
      <c r="A19" s="8" t="inlineStr">
        <is>
          <t>2026-10-08</t>
        </is>
      </c>
      <c r="B19" s="8" t="inlineStr">
        <is>
          <t>HOLO AI</t>
        </is>
      </c>
      <c r="C19" s="9" t="n">
        <v>-42.95</v>
      </c>
      <c r="D19" s="8" t="inlineStr">
        <is>
          <t>EU</t>
        </is>
      </c>
      <c r="E19" s="8" t="inlineStr">
        <is>
          <t>gekoppeld</t>
        </is>
      </c>
      <c r="F19" s="8" t="inlineStr">
        <is>
          <t>Holo AI HOLO-202610-DB395</t>
        </is>
      </c>
    </row>
    <row r="20">
      <c r="A20" s="8" t="inlineStr">
        <is>
          <t>2026-10-09</t>
        </is>
      </c>
      <c r="B20" s="8" t="inlineStr">
        <is>
          <t>SHOPIFY* 601792977</t>
        </is>
      </c>
      <c r="C20" s="9" t="n">
        <v>-129.2</v>
      </c>
      <c r="D20" s="8" t="inlineStr">
        <is>
          <t>EU</t>
        </is>
      </c>
      <c r="E20" s="8" t="inlineStr">
        <is>
          <t>gekoppeld</t>
        </is>
      </c>
      <c r="F20" s="8" t="inlineStr">
        <is>
          <t>Shopify-factuur 601792977 (mail 9/10)</t>
        </is>
      </c>
    </row>
    <row r="21">
      <c r="A21" s="8" t="inlineStr">
        <is>
          <t>2026-10-11</t>
        </is>
      </c>
      <c r="B21" s="8" t="inlineStr">
        <is>
          <t xml:space="preserve">FACEBK *XX3GC6J8A4 IED04 X2K5 DUBLIN Betaling met </t>
        </is>
      </c>
      <c r="C21" s="9" t="n">
        <v>-800</v>
      </c>
      <c r="D21" s="8" t="inlineStr">
        <is>
          <t>EU</t>
        </is>
      </c>
      <c r="E21" s="8" t="inlineStr">
        <is>
          <t>gekoppeld</t>
        </is>
      </c>
      <c r="F21" s="8" t="inlineStr">
        <is>
          <t>Meta-kwitantie 28770796055939105-28874006408951408 (2026-10-11) – in Lucy/Yuki</t>
        </is>
      </c>
    </row>
    <row r="22">
      <c r="A22" s="8" t="inlineStr">
        <is>
          <t>2026-10-14</t>
        </is>
      </c>
      <c r="B22" s="8" t="inlineStr">
        <is>
          <t>ALIBABA.COM</t>
        </is>
      </c>
      <c r="C22" s="9" t="n">
        <v>-779.1</v>
      </c>
      <c r="D22" s="8" t="inlineStr">
        <is>
          <t>INVOER</t>
        </is>
      </c>
      <c r="E22" s="8" t="inlineStr">
        <is>
          <t>gekoppeld</t>
        </is>
      </c>
      <c r="F22" s="8" t="inlineStr">
        <is>
          <t>Alibaba-ontvangstbewijs order 33333736501041123 (filters FF007 250 + FF009L 240)</t>
        </is>
      </c>
    </row>
    <row r="23">
      <c r="A23" s="8" t="inlineStr">
        <is>
          <t>2026-10-15</t>
        </is>
      </c>
      <c r="B23" s="8" t="inlineStr">
        <is>
          <t xml:space="preserve">FACEBK *J3XKX8W7A4 IED04 X2K5 DUBLIN Betaling met </t>
        </is>
      </c>
      <c r="C23" s="9" t="n">
        <v>-800</v>
      </c>
      <c r="D23" s="8" t="inlineStr">
        <is>
          <t>EU</t>
        </is>
      </c>
      <c r="E23" s="8" t="inlineStr">
        <is>
          <t>gekoppeld</t>
        </is>
      </c>
      <c r="F23" s="8" t="inlineStr">
        <is>
          <t>Meta-kwitantie 28719082304443821-28719082454443806 (2026-10-14) – in Lucy/Yuki</t>
        </is>
      </c>
    </row>
    <row r="24">
      <c r="A24" s="8" t="inlineStr">
        <is>
          <t>2026-10-18</t>
        </is>
      </c>
      <c r="B24" s="8" t="inlineStr">
        <is>
          <t xml:space="preserve">FACEBK *U6Y6G7J7A4 IED04 X2K5 DUBLIN Betaling met </t>
        </is>
      </c>
      <c r="C24" s="9" t="n">
        <v>-800</v>
      </c>
      <c r="D24" s="8" t="inlineStr">
        <is>
          <t>EU</t>
        </is>
      </c>
      <c r="E24" s="8" t="inlineStr">
        <is>
          <t>gekoppeld</t>
        </is>
      </c>
      <c r="F24" s="8" t="inlineStr">
        <is>
          <t>Meta-kwitantie 28824246560594057-28961227476895959 (2026-10-18) – in Lucy/Yuki</t>
        </is>
      </c>
    </row>
    <row r="25">
      <c r="A25" s="8" t="inlineStr">
        <is>
          <t>2026-10-21</t>
        </is>
      </c>
      <c r="B25" s="8" t="inlineStr">
        <is>
          <t xml:space="preserve">FACEBK *L8VFT7J8A4 IED04 X2K5 DUBLIN Betaling met </t>
        </is>
      </c>
      <c r="C25" s="9" t="n">
        <v>-800</v>
      </c>
      <c r="D25" s="8" t="inlineStr">
        <is>
          <t>EU</t>
        </is>
      </c>
      <c r="E25" s="8" t="inlineStr">
        <is>
          <t>gekoppeld</t>
        </is>
      </c>
      <c r="F25" s="8" t="inlineStr">
        <is>
          <t>Meta-kwitantie 28937478365937539-29039294869089227 (2026-10-21) – in Lucy/Yuki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2026-12-31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2628.54</v>
      </c>
      <c r="D4" s="9" t="n">
        <v>17318.46</v>
      </c>
      <c r="E4" s="9" t="n">
        <v>509.66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25/10)</t>
        </is>
      </c>
    </row>
    <row r="10">
      <c r="A10" s="2" t="inlineStr">
        <is>
          <t>Nederland</t>
        </is>
      </c>
      <c r="B10" s="10" t="n">
        <v>5790.23</v>
      </c>
    </row>
    <row r="11">
      <c r="A11" s="2" t="inlineStr">
        <is>
          <t>Frankrijk</t>
        </is>
      </c>
      <c r="B11" s="10" t="n">
        <v>13.08</v>
      </c>
    </row>
    <row r="12">
      <c r="A12" s="2" t="inlineStr">
        <is>
          <t>Luxemburg</t>
        </is>
      </c>
      <c r="B12" s="10" t="n">
        <v>117.54</v>
      </c>
    </row>
    <row r="13">
      <c r="A13" s="2" t="inlineStr">
        <is>
          <t>Portugal</t>
        </is>
      </c>
      <c r="B13" s="10" t="n">
        <v>19.82</v>
      </c>
    </row>
    <row r="14">
      <c r="A14" s="6" t="inlineStr">
        <is>
          <t>Totaal</t>
        </is>
      </c>
      <c r="B14" s="4">
        <f>SUM(B10:B13)</f>
        <v/>
      </c>
      <c r="C14" s="2">
        <f>IF(B14&gt;10000,"DREMPEL OVERSCHREDEN: btw van het land van de klant via OSS","onder de drempel: Belgische btw")</f>
        <v/>
      </c>
    </row>
    <row r="16">
      <c r="A16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2026-10-26T13:00:37Z</dcterms:created>
  <dcterms:modified xsi:type="dcterms:W3CDTF">2026-10-26T13:00:37Z</dcterms:modified>
</cp:coreProperties>
</file>