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envatting" sheetId="1" state="visible" r:id="rId1"/>
    <sheet name="Verkopen" sheetId="2" state="visible" r:id="rId2"/>
    <sheet name="Aankopen" sheetId="3" state="visible" r:id="rId3"/>
    <sheet name="Btw-voorbereiding" sheetId="4" state="visible" r:id="rId4"/>
    <sheet name="Bankafstemming" sheetId="5" state="visible" r:id="rId5"/>
    <sheet name="Documenten" sheetId="6" state="visible" r:id="rId6"/>
    <sheet name="Leningen" sheetId="7" state="visible" r:id="rId7"/>
    <sheet name="OSS" sheetId="8" state="visible" r:id="rId8"/>
  </sheets>
  <definedNames>
    <definedName name="_xlnm._FilterDatabase" localSheetId="2" hidden="1">'Aankopen'!$A$3:$J$117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;[Red]-€ #,##0.00;-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0E6B5C"/>
      </patternFill>
    </fill>
  </fills>
  <borders count="2">
    <border>
      <left/>
      <right/>
      <top/>
      <bottom/>
      <diagonal/>
    </border>
    <border>
      <bottom style="thin">
        <color rgb="00D9DDD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1" pivotButton="0" quotePrefix="0" xfId="0"/>
    <xf numFmtId="164" fontId="2" fillId="0" borderId="1" pivotButton="0" quotePrefix="0" xfId="0"/>
    <xf numFmtId="164" fontId="0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>
        <is>
          <t>SmartPaw VOF — kwartaalpakket Q3 2026</t>
        </is>
      </c>
    </row>
    <row r="2">
      <c r="A2" s="2" t="inlineStr">
        <is>
          <t>Voorbereid door het SmartPaw-financiënplatform op 2026-10-26. Voorbereiding: Pro-count controleert en dient in.</t>
        </is>
      </c>
    </row>
    <row r="4">
      <c r="A4" s="2" t="inlineStr">
        <is>
          <t>Verkopen Shopify (netto excl. btw)</t>
        </is>
      </c>
      <c r="B4" s="3">
        <f>Verkopen!F9</f>
        <v/>
      </c>
    </row>
    <row r="5">
      <c r="A5" s="2" t="inlineStr">
        <is>
          <t>Verkopen bol.com (netto excl. btw)</t>
        </is>
      </c>
      <c r="B5" s="3">
        <f>Verkopen!D16</f>
        <v/>
      </c>
    </row>
    <row r="6">
      <c r="A6" s="2" t="inlineStr">
        <is>
          <t>Btw op verkopen (vak 54)</t>
        </is>
      </c>
      <c r="B6" s="3">
        <f>'Btw-voorbereiding'!C5</f>
        <v/>
      </c>
    </row>
    <row r="7">
      <c r="A7" s="2" t="inlineStr">
        <is>
          <t>Aftrekbare btw (vak 59)</t>
        </is>
      </c>
      <c r="B7" s="3">
        <f>'Btw-voorbereiding'!C11</f>
        <v/>
      </c>
    </row>
    <row r="8">
      <c r="A8" s="2" t="inlineStr">
        <is>
          <t>Te betalen volgens voorbereiding</t>
        </is>
      </c>
      <c r="B8" s="4">
        <f>'Btw-voorbereiding'!C12</f>
        <v/>
      </c>
    </row>
    <row r="9">
      <c r="A9" s="2" t="inlineStr">
        <is>
          <t>Te betalen volgens Pro-count</t>
        </is>
      </c>
      <c r="B9" s="4">
        <f>'Btw-voorbereiding'!C13</f>
        <v/>
      </c>
    </row>
    <row r="10">
      <c r="A10" s="2" t="inlineStr">
        <is>
          <t>Verschil</t>
        </is>
      </c>
      <c r="B10" s="4">
        <f>'Btw-voorbereiding'!C14</f>
        <v/>
      </c>
    </row>
    <row r="11">
      <c r="A11" s="2" t="inlineStr">
        <is>
          <t>Uitgaven met onzekere btw-behandeling (NAKIJKEN)</t>
        </is>
      </c>
      <c r="B11" s="2">
        <f>COUNTIF(Aankopen!E4:E117,"NAKIJKEN")</f>
        <v/>
      </c>
    </row>
    <row r="12">
      <c r="A12" s="2" t="inlineStr">
        <is>
          <t>Verrichtingen zonder bewijs</t>
        </is>
      </c>
      <c r="B12" s="2" t="n">
        <v>65</v>
      </c>
    </row>
    <row r="14">
      <c r="A14" s="5" t="inlineStr">
        <is>
          <t>Tabbladen: Verkopen · Aankopen · Btw-voorbereiding · Bankafstemming · Documenten · Leningen · OSS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3" customWidth="1" min="3" max="3"/>
    <col width="13" customWidth="1" min="4" max="4"/>
    <col width="13" customWidth="1" min="5" max="5"/>
    <col width="15" customWidth="1" min="6" max="6"/>
    <col width="15" customWidth="1" min="7" max="7"/>
    <col width="13" customWidth="1" min="8" max="8"/>
    <col width="15" customWidth="1" min="9" max="9"/>
  </cols>
  <sheetData>
    <row r="1">
      <c r="A1" s="6" t="inlineStr">
        <is>
          <t>Verkopen Q3 2026 (Shopify per factuurland + bol.com)</t>
        </is>
      </c>
    </row>
    <row r="3">
      <c r="A3" s="7" t="inlineStr">
        <is>
          <t>Shopify – land</t>
        </is>
      </c>
      <c r="B3" s="7" t="inlineStr">
        <is>
          <t>Orders</t>
        </is>
      </c>
      <c r="C3" s="7" t="inlineStr">
        <is>
          <t>Bruto</t>
        </is>
      </c>
      <c r="D3" s="7" t="inlineStr">
        <is>
          <t>Korting</t>
        </is>
      </c>
      <c r="E3" s="7" t="inlineStr">
        <is>
          <t>Retours</t>
        </is>
      </c>
      <c r="F3" s="7" t="inlineStr">
        <is>
          <t>Netto excl. btw</t>
        </is>
      </c>
      <c r="G3" s="7" t="inlineStr">
        <is>
          <t>Verzending (incl. btw)</t>
        </is>
      </c>
      <c r="H3" s="7" t="inlineStr">
        <is>
          <t>Btw</t>
        </is>
      </c>
      <c r="I3" s="7" t="inlineStr">
        <is>
          <t>Totaal incl. btw</t>
        </is>
      </c>
    </row>
    <row r="4">
      <c r="A4" s="8" t="inlineStr">
        <is>
          <t>België</t>
        </is>
      </c>
      <c r="B4" s="8" t="n">
        <v>416</v>
      </c>
      <c r="C4" s="9" t="n">
        <v>41857.91</v>
      </c>
      <c r="D4" s="9" t="n">
        <v>-5200.74</v>
      </c>
      <c r="E4" s="9" t="n">
        <v>-1052.35</v>
      </c>
      <c r="F4" s="9" t="n">
        <v>35604.82</v>
      </c>
      <c r="G4" s="9" t="n">
        <v>131.65</v>
      </c>
      <c r="H4" s="9" t="n">
        <v>7551.93</v>
      </c>
      <c r="I4" s="9" t="n">
        <v>43288.4</v>
      </c>
    </row>
    <row r="5">
      <c r="A5" s="8" t="inlineStr">
        <is>
          <t>Nederland</t>
        </is>
      </c>
      <c r="B5" s="8" t="n">
        <v>37</v>
      </c>
      <c r="C5" s="9" t="n">
        <v>4187.68</v>
      </c>
      <c r="D5" s="9" t="n">
        <v>-687.85</v>
      </c>
      <c r="E5" s="9" t="n">
        <v>0</v>
      </c>
      <c r="F5" s="9" t="n">
        <v>3499.83</v>
      </c>
      <c r="G5" s="9" t="n">
        <v>5.79</v>
      </c>
      <c r="H5" s="9" t="n">
        <v>736.24</v>
      </c>
      <c r="I5" s="9" t="n">
        <v>4241.86</v>
      </c>
    </row>
    <row r="6">
      <c r="A6" s="8" t="inlineStr">
        <is>
          <t>(geen land ingevuld)</t>
        </is>
      </c>
      <c r="B6" s="8" t="n">
        <v>24</v>
      </c>
      <c r="C6" s="9" t="n">
        <v>1989.2</v>
      </c>
      <c r="D6" s="9" t="n">
        <v>-215.98</v>
      </c>
      <c r="E6" s="9" t="n">
        <v>0</v>
      </c>
      <c r="F6" s="9" t="n">
        <v>1773.22</v>
      </c>
      <c r="G6" s="9" t="n">
        <v>0</v>
      </c>
      <c r="H6" s="9" t="n">
        <v>372.33</v>
      </c>
      <c r="I6" s="9" t="n">
        <v>2145.55</v>
      </c>
    </row>
    <row r="7">
      <c r="A7" s="8" t="inlineStr">
        <is>
          <t>Frankrijk</t>
        </is>
      </c>
      <c r="B7" s="8" t="n">
        <v>1</v>
      </c>
      <c r="C7" s="9" t="n">
        <v>101.24</v>
      </c>
      <c r="D7" s="9" t="n">
        <v>0</v>
      </c>
      <c r="E7" s="9" t="n">
        <v>0</v>
      </c>
      <c r="F7" s="9" t="n">
        <v>101.24</v>
      </c>
      <c r="G7" s="9" t="n">
        <v>0</v>
      </c>
      <c r="H7" s="9" t="n">
        <v>21.25</v>
      </c>
      <c r="I7" s="9" t="n">
        <v>122.49</v>
      </c>
    </row>
    <row r="8">
      <c r="A8" s="8" t="inlineStr">
        <is>
          <t>Luxemburg</t>
        </is>
      </c>
      <c r="B8" s="8" t="n">
        <v>1</v>
      </c>
      <c r="C8" s="9" t="n">
        <v>130.59</v>
      </c>
      <c r="D8" s="9" t="n">
        <v>-13.05</v>
      </c>
      <c r="E8" s="9" t="n">
        <v>0</v>
      </c>
      <c r="F8" s="9" t="n">
        <v>117.54</v>
      </c>
      <c r="G8" s="9" t="n">
        <v>6.41</v>
      </c>
      <c r="H8" s="9" t="n">
        <v>26.03</v>
      </c>
      <c r="I8" s="9" t="n">
        <v>149.98</v>
      </c>
    </row>
    <row r="9">
      <c r="A9" s="6" t="inlineStr">
        <is>
          <t>Totaal Shopify</t>
        </is>
      </c>
      <c r="B9" s="6">
        <f>SUM(B4:B8)</f>
        <v/>
      </c>
      <c r="C9" s="4">
        <f>SUM(C4:C8)</f>
        <v/>
      </c>
      <c r="D9" s="4">
        <f>SUM(D4:D8)</f>
        <v/>
      </c>
      <c r="E9" s="4">
        <f>SUM(E4:E8)</f>
        <v/>
      </c>
      <c r="F9" s="4">
        <f>SUM(F4:F8)</f>
        <v/>
      </c>
      <c r="G9" s="4">
        <f>SUM(G4:G8)</f>
        <v/>
      </c>
      <c r="H9" s="4">
        <f>SUM(H4:H8)</f>
        <v/>
      </c>
      <c r="I9" s="4">
        <f>SUM(I4:I8)</f>
        <v/>
      </c>
    </row>
    <row r="11">
      <c r="A11" s="6" t="inlineStr">
        <is>
          <t>bol.com (uit de bol-facturen)</t>
        </is>
      </c>
    </row>
    <row r="12">
      <c r="A12" s="7" t="inlineStr">
        <is>
          <t>bol – maand</t>
        </is>
      </c>
      <c r="B12" s="7" t="inlineStr">
        <is>
          <t>Orders</t>
        </is>
      </c>
      <c r="C12" s="7" t="inlineStr">
        <is>
          <t>Omzet incl. btw (na retouren)</t>
        </is>
      </c>
      <c r="D12" s="7" t="inlineStr">
        <is>
          <t>Netto excl. btw</t>
        </is>
      </c>
      <c r="E12" s="7" t="inlineStr">
        <is>
          <t>Btw 21%</t>
        </is>
      </c>
      <c r="F12" s="7" t="inlineStr">
        <is>
          <t>Commissie (kost, verlegd)</t>
        </is>
      </c>
      <c r="G12" s="7" t="inlineStr">
        <is>
          <t>bol-ads (kost)</t>
        </is>
      </c>
      <c r="H12" s="7" t="inlineStr">
        <is>
          <t>Retourlabels (kost)</t>
        </is>
      </c>
    </row>
    <row r="13">
      <c r="A13" s="8" t="inlineStr">
        <is>
          <t>2026-07</t>
        </is>
      </c>
      <c r="B13" s="8" t="n">
        <v>19</v>
      </c>
      <c r="C13" s="9" t="n">
        <v>1587</v>
      </c>
      <c r="D13" s="9">
        <f>C13/1.21</f>
        <v/>
      </c>
      <c r="E13" s="9">
        <f>C13-D13</f>
        <v/>
      </c>
      <c r="F13" s="9" t="n">
        <v>209.49</v>
      </c>
      <c r="G13" s="9" t="n">
        <v>116.33</v>
      </c>
      <c r="H13" s="9" t="n">
        <v>9.33</v>
      </c>
    </row>
    <row r="14">
      <c r="A14" s="8" t="inlineStr">
        <is>
          <t>2026-08</t>
        </is>
      </c>
      <c r="B14" s="8" t="n">
        <v>16</v>
      </c>
      <c r="C14" s="9" t="n">
        <v>1866</v>
      </c>
      <c r="D14" s="9">
        <f>C14/1.21</f>
        <v/>
      </c>
      <c r="E14" s="9">
        <f>C14-D14</f>
        <v/>
      </c>
      <c r="F14" s="9" t="n">
        <v>222.12</v>
      </c>
      <c r="G14" s="9" t="n">
        <v>83.67</v>
      </c>
      <c r="H14" s="9" t="n">
        <v>3.64</v>
      </c>
    </row>
    <row r="15">
      <c r="A15" s="8" t="inlineStr">
        <is>
          <t>2026-09</t>
        </is>
      </c>
      <c r="B15" s="8" t="n">
        <v>12</v>
      </c>
      <c r="C15" s="9" t="n">
        <v>1181.97</v>
      </c>
      <c r="D15" s="9">
        <f>C15/1.21</f>
        <v/>
      </c>
      <c r="E15" s="9">
        <f>C15-D15</f>
        <v/>
      </c>
      <c r="F15" s="9" t="n">
        <v>107.37</v>
      </c>
      <c r="G15" s="9" t="n">
        <v>0</v>
      </c>
      <c r="H15" s="9" t="n">
        <v>4</v>
      </c>
    </row>
    <row r="16">
      <c r="A16" s="6" t="inlineStr">
        <is>
          <t>Totaal bol</t>
        </is>
      </c>
      <c r="B16" s="6">
        <f>SUM(B13:B15)</f>
        <v/>
      </c>
      <c r="C16" s="4">
        <f>SUM(C13:C15)</f>
        <v/>
      </c>
      <c r="D16" s="4">
        <f>SUM(D13:D15)</f>
        <v/>
      </c>
      <c r="E16" s="4">
        <f>SUM(E13:E15)</f>
        <v/>
      </c>
      <c r="F16" s="4">
        <f>SUM(F13:F15)</f>
        <v/>
      </c>
      <c r="G16" s="4">
        <f>SUM(G13:G15)</f>
        <v/>
      </c>
      <c r="H16" s="4">
        <f>SUM(H13:H15)</f>
        <v/>
      </c>
    </row>
    <row r="18">
      <c r="A18" s="6" t="inlineStr">
        <is>
          <t>Per betaalwijze (Shopify)</t>
        </is>
      </c>
    </row>
    <row r="19">
      <c r="A19" s="7" t="inlineStr">
        <is>
          <t>Betaalwijze</t>
        </is>
      </c>
      <c r="B19" s="7" t="inlineStr">
        <is>
          <t>Bruto</t>
        </is>
      </c>
      <c r="C19" s="7" t="inlineStr">
        <is>
          <t>Terugbetaald</t>
        </is>
      </c>
      <c r="D19" s="7" t="inlineStr">
        <is>
          <t>Netto</t>
        </is>
      </c>
    </row>
    <row r="20">
      <c r="A20" s="8" t="inlineStr">
        <is>
          <t>Shopify Payments (kaart, Bancontact, Klarna, …)</t>
        </is>
      </c>
      <c r="B20" s="9" t="n">
        <v>50404.23</v>
      </c>
      <c r="C20" s="9" t="n">
        <v>-1112.9</v>
      </c>
      <c r="D20" s="9" t="n">
        <v>49291.33</v>
      </c>
    </row>
    <row r="21">
      <c r="A21" s="8" t="inlineStr">
        <is>
          <t>Manueel (overschrijving)</t>
        </is>
      </c>
      <c r="B21" s="9" t="n">
        <v>580.47</v>
      </c>
      <c r="C21" s="9" t="n">
        <v>0</v>
      </c>
      <c r="D21" s="9" t="n">
        <v>580.47</v>
      </c>
    </row>
    <row r="22">
      <c r="A22" s="8" t="inlineStr">
        <is>
          <t>Cash</t>
        </is>
      </c>
      <c r="B22" s="9" t="n">
        <v>185.62</v>
      </c>
      <c r="C22" s="9" t="n">
        <v>0</v>
      </c>
      <c r="D22" s="9" t="n">
        <v>185.62</v>
      </c>
    </row>
    <row r="23">
      <c r="A23" s="8" t="inlineStr">
        <is>
          <t>PayPal</t>
        </is>
      </c>
      <c r="B23" s="9" t="n">
        <v>0</v>
      </c>
      <c r="C23" s="9" t="n">
        <v>-109.14</v>
      </c>
      <c r="D23" s="9" t="n">
        <v>-109.14</v>
      </c>
    </row>
    <row r="25">
      <c r="A25" s="2" t="inlineStr">
        <is>
          <t>Shopify Payments-kosten (fees)</t>
        </is>
      </c>
      <c r="D25" s="10" t="n">
        <v>1325.85</v>
      </c>
    </row>
    <row r="26">
      <c r="A26" s="2" t="inlineStr">
        <is>
          <t>Verwachte uitbetalingen (netto − fees)</t>
        </is>
      </c>
      <c r="D26" s="10">
        <f>D20-D25</f>
        <v/>
      </c>
    </row>
    <row r="27">
      <c r="A27" s="2" t="inlineStr">
        <is>
          <t>Stortingen Shopify Payments op KBC in dit kwartaal</t>
        </is>
      </c>
      <c r="D27" s="10" t="n">
        <v>49748.35</v>
      </c>
    </row>
    <row r="28">
      <c r="A28" s="2" t="inlineStr">
        <is>
          <t>Verschil (timing: verkoop eind vorig kwartaal betaald in dit kwartaal, en omgekeerd)</t>
        </is>
      </c>
      <c r="D28" s="10">
        <f>D27-D26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26" customWidth="1" min="4" max="4"/>
    <col width="10" customWidth="1" min="5" max="5"/>
    <col width="16" customWidth="1" min="6" max="6"/>
    <col width="30" customWidth="1" min="7" max="7"/>
    <col width="14" customWidth="1" min="8" max="8"/>
    <col width="14" customWidth="1" min="9" max="9"/>
    <col width="12" customWidth="1" min="10" max="10"/>
  </cols>
  <sheetData>
    <row r="1">
      <c r="A1" s="6" t="inlineStr">
        <is>
          <t>Uitgaven Q3 2026 volgens de bank (KBC, KBC-kredietkaart, Revolut) — met btw-behandeling</t>
        </is>
      </c>
    </row>
    <row r="3">
      <c r="A3" s="7" t="inlineStr">
        <is>
          <t>Datum</t>
        </is>
      </c>
      <c r="B3" s="7" t="inlineStr">
        <is>
          <t>Rekening</t>
        </is>
      </c>
      <c r="C3" s="7" t="inlineStr">
        <is>
          <t>Leverancier</t>
        </is>
      </c>
      <c r="D3" s="7" t="inlineStr">
        <is>
          <t>Categorie</t>
        </is>
      </c>
      <c r="E3" s="7" t="inlineStr">
        <is>
          <t>Btw-type</t>
        </is>
      </c>
      <c r="F3" s="7" t="inlineStr">
        <is>
          <t>Vak aangifte</t>
        </is>
      </c>
      <c r="G3" s="7" t="inlineStr">
        <is>
          <t>Toelichting</t>
        </is>
      </c>
      <c r="H3" s="7" t="inlineStr">
        <is>
          <t>Betaald (incl. btw)</t>
        </is>
      </c>
      <c r="I3" s="7" t="inlineStr">
        <is>
          <t>Maatstaf (excl. btw)</t>
        </is>
      </c>
      <c r="J3" s="7" t="inlineStr">
        <is>
          <t>Btw</t>
        </is>
      </c>
    </row>
    <row r="4">
      <c r="A4" s="8" t="inlineStr">
        <is>
          <t>2026-07-01</t>
        </is>
      </c>
      <c r="B4" s="8" t="inlineStr">
        <is>
          <t>KBC</t>
        </is>
      </c>
      <c r="C4" s="8" t="inlineStr">
        <is>
          <t>FACEBK *X87X6SV7A2 IED04 X2K5 Dublin Betaling</t>
        </is>
      </c>
      <c r="D4" s="8" t="inlineStr">
        <is>
          <t>Ads Meta</t>
        </is>
      </c>
      <c r="E4" s="8" t="inlineStr">
        <is>
          <t>EU</t>
        </is>
      </c>
      <c r="F4" s="8" t="inlineStr">
        <is>
          <t>88 / 55 / 59</t>
        </is>
      </c>
      <c r="G4" s="8" t="inlineStr">
        <is>
          <t>dienst Ierland/EU, verlegd</t>
        </is>
      </c>
      <c r="H4" s="9" t="n">
        <v>800</v>
      </c>
      <c r="I4" s="10">
        <f>H4</f>
        <v/>
      </c>
      <c r="J4" s="10">
        <f>I4*0.21</f>
        <v/>
      </c>
    </row>
    <row r="5">
      <c r="A5" s="8" t="inlineStr">
        <is>
          <t>2026-07-01</t>
        </is>
      </c>
      <c r="B5" s="8" t="inlineStr">
        <is>
          <t>KBC</t>
        </is>
      </c>
      <c r="C5" s="8" t="inlineStr">
        <is>
          <t>GOOGLE*WORKSPACE SMART IED02 R296 CC GOOGLE.C</t>
        </is>
      </c>
      <c r="D5" s="8" t="inlineStr">
        <is>
          <t>Software &amp; abonnementen</t>
        </is>
      </c>
      <c r="E5" s="8" t="inlineStr">
        <is>
          <t>EU</t>
        </is>
      </c>
      <c r="F5" s="8" t="inlineStr">
        <is>
          <t>88 / 55 / 59</t>
        </is>
      </c>
      <c r="G5" s="8" t="inlineStr">
        <is>
          <t>dienst Ierland/EU, verlegd</t>
        </is>
      </c>
      <c r="H5" s="9" t="n">
        <v>75.90000000000001</v>
      </c>
      <c r="I5" s="10">
        <f>H5</f>
        <v/>
      </c>
      <c r="J5" s="10">
        <f>I5*0.21</f>
        <v/>
      </c>
    </row>
    <row r="6">
      <c r="A6" s="8" t="inlineStr">
        <is>
          <t>2026-07-01</t>
        </is>
      </c>
      <c r="B6" s="8" t="inlineStr">
        <is>
          <t>KBC</t>
        </is>
      </c>
      <c r="C6" s="8" t="inlineStr">
        <is>
          <t>Yuki Works NV via Mollie</t>
        </is>
      </c>
      <c r="D6" s="8" t="inlineStr">
        <is>
          <t>Software &amp; abonnementen</t>
        </is>
      </c>
      <c r="E6" s="8" t="inlineStr">
        <is>
          <t>BE21</t>
        </is>
      </c>
      <c r="F6" s="8" t="inlineStr">
        <is>
          <t>82 (+ btw in 59)</t>
        </is>
      </c>
      <c r="G6" s="8" t="inlineStr">
        <is>
          <t>Belgische leverancier</t>
        </is>
      </c>
      <c r="H6" s="9" t="n">
        <v>2.42</v>
      </c>
      <c r="I6" s="10">
        <f>H6/1.21</f>
        <v/>
      </c>
      <c r="J6" s="10">
        <f>H6-I6</f>
        <v/>
      </c>
    </row>
    <row r="7">
      <c r="A7" s="8" t="inlineStr">
        <is>
          <t>2026-07-01</t>
        </is>
      </c>
      <c r="B7" s="8" t="inlineStr">
        <is>
          <t>KBC-kaart</t>
        </is>
      </c>
      <c r="C7" s="8" t="inlineStr">
        <is>
          <t>Google ADS4790542578</t>
        </is>
      </c>
      <c r="D7" s="8" t="inlineStr">
        <is>
          <t>Ads Google</t>
        </is>
      </c>
      <c r="E7" s="8" t="inlineStr">
        <is>
          <t>EU</t>
        </is>
      </c>
      <c r="F7" s="8" t="inlineStr">
        <is>
          <t>88 / 55 / 59</t>
        </is>
      </c>
      <c r="G7" s="8" t="inlineStr">
        <is>
          <t>dienst Ierland/EU, verlegd</t>
        </is>
      </c>
      <c r="H7" s="9" t="n">
        <v>158.5</v>
      </c>
      <c r="I7" s="10">
        <f>H7</f>
        <v/>
      </c>
      <c r="J7" s="10">
        <f>I7*0.21</f>
        <v/>
      </c>
    </row>
    <row r="8">
      <c r="A8" s="8" t="inlineStr">
        <is>
          <t>2026-07-04</t>
        </is>
      </c>
      <c r="B8" s="8" t="inlineStr">
        <is>
          <t>KBC-kaart</t>
        </is>
      </c>
      <c r="C8" s="8" t="inlineStr">
        <is>
          <t>RETURNGO</t>
        </is>
      </c>
      <c r="D8" s="8" t="inlineStr">
        <is>
          <t>Verzending &amp; retours (overig)</t>
        </is>
      </c>
      <c r="E8" s="8" t="inlineStr">
        <is>
          <t>NONEU</t>
        </is>
      </c>
      <c r="F8" s="8" t="inlineStr">
        <is>
          <t>87 / 56 / 59</t>
        </is>
      </c>
      <c r="G8" s="8" t="inlineStr">
        <is>
          <t>dienst buiten EU, verlegd</t>
        </is>
      </c>
      <c r="H8" s="9" t="n">
        <v>86</v>
      </c>
      <c r="I8" s="10">
        <f>H8</f>
        <v/>
      </c>
      <c r="J8" s="10">
        <f>I8*0.21</f>
        <v/>
      </c>
    </row>
    <row r="9">
      <c r="A9" s="8" t="inlineStr">
        <is>
          <t>2026-07-05</t>
        </is>
      </c>
      <c r="B9" s="8" t="inlineStr">
        <is>
          <t>KBC</t>
        </is>
      </c>
      <c r="C9" s="8" t="inlineStr">
        <is>
          <t>Pro-Count</t>
        </is>
      </c>
      <c r="D9" s="8" t="inlineStr">
        <is>
          <t>Boekhouder</t>
        </is>
      </c>
      <c r="E9" s="8" t="inlineStr">
        <is>
          <t>BE21</t>
        </is>
      </c>
      <c r="F9" s="8" t="inlineStr">
        <is>
          <t>82 (+ btw in 59)</t>
        </is>
      </c>
      <c r="G9" s="8" t="inlineStr">
        <is>
          <t>Belgische leverancier</t>
        </is>
      </c>
      <c r="H9" s="9" t="n">
        <v>242</v>
      </c>
      <c r="I9" s="10">
        <f>H9/1.21</f>
        <v/>
      </c>
      <c r="J9" s="10">
        <f>H9-I9</f>
        <v/>
      </c>
    </row>
    <row r="10">
      <c r="A10" s="8" t="inlineStr">
        <is>
          <t>2026-07-05</t>
        </is>
      </c>
      <c r="B10" s="8" t="inlineStr">
        <is>
          <t>KBC</t>
        </is>
      </c>
      <c r="C10" s="8" t="inlineStr">
        <is>
          <t>Pro-Count</t>
        </is>
      </c>
      <c r="D10" s="8" t="inlineStr">
        <is>
          <t>Boekhouder</t>
        </is>
      </c>
      <c r="E10" s="8" t="inlineStr">
        <is>
          <t>BE21</t>
        </is>
      </c>
      <c r="F10" s="8" t="inlineStr">
        <is>
          <t>82 (+ btw in 59)</t>
        </is>
      </c>
      <c r="G10" s="8" t="inlineStr">
        <is>
          <t>Belgische leverancier</t>
        </is>
      </c>
      <c r="H10" s="9" t="n">
        <v>242</v>
      </c>
      <c r="I10" s="10">
        <f>H10/1.21</f>
        <v/>
      </c>
      <c r="J10" s="10">
        <f>H10-I10</f>
        <v/>
      </c>
    </row>
    <row r="11">
      <c r="A11" s="8" t="inlineStr">
        <is>
          <t>2026-07-05</t>
        </is>
      </c>
      <c r="B11" s="8" t="inlineStr">
        <is>
          <t>KBC</t>
        </is>
      </c>
      <c r="C11" s="8" t="inlineStr">
        <is>
          <t>Widem Logistics NV</t>
        </is>
      </c>
      <c r="D11" s="8" t="inlineStr">
        <is>
          <t>Widem (fulfilment, vracht, invoer)</t>
        </is>
      </c>
      <c r="E11" s="8" t="inlineStr">
        <is>
          <t>BE21</t>
        </is>
      </c>
      <c r="F11" s="8" t="inlineStr">
        <is>
          <t>82 (+ btw in 59)</t>
        </is>
      </c>
      <c r="G11" s="8" t="inlineStr">
        <is>
          <t>Belgische leverancier</t>
        </is>
      </c>
      <c r="H11" s="9" t="n">
        <v>527.83</v>
      </c>
      <c r="I11" s="10">
        <f>H11/1.21</f>
        <v/>
      </c>
      <c r="J11" s="10">
        <f>H11-I11</f>
        <v/>
      </c>
    </row>
    <row r="12">
      <c r="A12" s="8" t="inlineStr">
        <is>
          <t>2026-07-05</t>
        </is>
      </c>
      <c r="B12" s="8" t="inlineStr">
        <is>
          <t>KBC</t>
        </is>
      </c>
      <c r="C12" s="8" t="inlineStr">
        <is>
          <t>Findajob bv</t>
        </is>
      </c>
      <c r="D12" s="8" t="inlineStr">
        <is>
          <t>Personeel (student)</t>
        </is>
      </c>
      <c r="E12" s="8" t="inlineStr">
        <is>
          <t>BE21</t>
        </is>
      </c>
      <c r="F12" s="8" t="inlineStr">
        <is>
          <t>82 (+ btw in 59)</t>
        </is>
      </c>
      <c r="G12" s="8" t="inlineStr">
        <is>
          <t>Belgische leverancier</t>
        </is>
      </c>
      <c r="H12" s="9" t="n">
        <v>75.78</v>
      </c>
      <c r="I12" s="10">
        <f>H12/1.21</f>
        <v/>
      </c>
      <c r="J12" s="10">
        <f>H12-I12</f>
        <v/>
      </c>
    </row>
    <row r="13">
      <c r="A13" s="8" t="inlineStr">
        <is>
          <t>2026-07-05</t>
        </is>
      </c>
      <c r="B13" s="8" t="inlineStr">
        <is>
          <t>KBC</t>
        </is>
      </c>
      <c r="C13" s="8" t="inlineStr">
        <is>
          <t>Henri Steyaert</t>
        </is>
      </c>
      <c r="D13" s="8" t="inlineStr">
        <is>
          <t>Terugbetaling kosten aan Henri</t>
        </is>
      </c>
      <c r="E13" s="8" t="inlineStr">
        <is>
          <t>NAKIJKEN</t>
        </is>
      </c>
      <c r="F13" s="8" t="inlineStr">
        <is>
          <t>?</t>
        </is>
      </c>
      <c r="G13" s="8" t="inlineStr">
        <is>
          <t>terugbetaling privé betaalde kost: factuur + btw nakijken</t>
        </is>
      </c>
      <c r="H13" s="9" t="n">
        <v>91.84</v>
      </c>
      <c r="I13" s="10">
        <f>H13</f>
        <v/>
      </c>
      <c r="J13" s="10" t="n">
        <v>0</v>
      </c>
    </row>
    <row r="14">
      <c r="A14" s="8" t="inlineStr">
        <is>
          <t>2026-07-05</t>
        </is>
      </c>
      <c r="B14" s="8" t="inlineStr">
        <is>
          <t>KBC</t>
        </is>
      </c>
      <c r="C14" s="8" t="inlineStr">
        <is>
          <t>Findajob bv</t>
        </is>
      </c>
      <c r="D14" s="8" t="inlineStr">
        <is>
          <t>Personeel (student)</t>
        </is>
      </c>
      <c r="E14" s="8" t="inlineStr">
        <is>
          <t>BE21</t>
        </is>
      </c>
      <c r="F14" s="8" t="inlineStr">
        <is>
          <t>82 (+ btw in 59)</t>
        </is>
      </c>
      <c r="G14" s="8" t="inlineStr">
        <is>
          <t>Belgische leverancier</t>
        </is>
      </c>
      <c r="H14" s="9" t="n">
        <v>18.95</v>
      </c>
      <c r="I14" s="10">
        <f>H14/1.21</f>
        <v/>
      </c>
      <c r="J14" s="10">
        <f>H14-I14</f>
        <v/>
      </c>
    </row>
    <row r="15">
      <c r="A15" s="8" t="inlineStr">
        <is>
          <t>2026-07-06</t>
        </is>
      </c>
      <c r="B15" s="8" t="inlineStr">
        <is>
          <t>KBC</t>
        </is>
      </c>
      <c r="C15" s="8" t="inlineStr">
        <is>
          <t>FACEBK *W9EF8UH8A2 IED04 X2K5 Dublin Betaling</t>
        </is>
      </c>
      <c r="D15" s="8" t="inlineStr">
        <is>
          <t>Ads Meta</t>
        </is>
      </c>
      <c r="E15" s="8" t="inlineStr">
        <is>
          <t>EU</t>
        </is>
      </c>
      <c r="F15" s="8" t="inlineStr">
        <is>
          <t>88 / 55 / 59</t>
        </is>
      </c>
      <c r="G15" s="8" t="inlineStr">
        <is>
          <t>dienst Ierland/EU, verlegd</t>
        </is>
      </c>
      <c r="H15" s="9" t="n">
        <v>800</v>
      </c>
      <c r="I15" s="10">
        <f>H15</f>
        <v/>
      </c>
      <c r="J15" s="10">
        <f>I15*0.21</f>
        <v/>
      </c>
    </row>
    <row r="16">
      <c r="A16" s="8" t="inlineStr">
        <is>
          <t>2026-07-08</t>
        </is>
      </c>
      <c r="B16" s="8" t="inlineStr">
        <is>
          <t>Revolut</t>
        </is>
      </c>
      <c r="C16" s="8" t="inlineStr">
        <is>
          <t>Company Pro plan fee</t>
        </is>
      </c>
      <c r="D16" s="8" t="inlineStr">
        <is>
          <t>Software &amp; abonnementen</t>
        </is>
      </c>
      <c r="E16" s="8" t="inlineStr">
        <is>
          <t>GEEN</t>
        </is>
      </c>
      <c r="F16" s="8" t="inlineStr">
        <is>
          <t>82 zonder btw</t>
        </is>
      </c>
      <c r="G16" s="8" t="inlineStr">
        <is>
          <t>vrijgesteld / geen btw</t>
        </is>
      </c>
      <c r="H16" s="9" t="n">
        <v>35</v>
      </c>
      <c r="I16" s="10">
        <f>H16</f>
        <v/>
      </c>
      <c r="J16" s="10" t="n">
        <v>0</v>
      </c>
    </row>
    <row r="17">
      <c r="A17" s="8" t="inlineStr">
        <is>
          <t>2026-07-08</t>
        </is>
      </c>
      <c r="B17" s="8" t="inlineStr">
        <is>
          <t>KBC</t>
        </is>
      </c>
      <c r="C17" s="8" t="inlineStr">
        <is>
          <t>FACEBK *RQQRHTR7A2 IED04 X2K5 Dublin Betaling</t>
        </is>
      </c>
      <c r="D17" s="8" t="inlineStr">
        <is>
          <t>Ads Meta</t>
        </is>
      </c>
      <c r="E17" s="8" t="inlineStr">
        <is>
          <t>EU</t>
        </is>
      </c>
      <c r="F17" s="8" t="inlineStr">
        <is>
          <t>88 / 55 / 59</t>
        </is>
      </c>
      <c r="G17" s="8" t="inlineStr">
        <is>
          <t>dienst Ierland/EU, verlegd</t>
        </is>
      </c>
      <c r="H17" s="9" t="n">
        <v>278.57</v>
      </c>
      <c r="I17" s="10">
        <f>H17</f>
        <v/>
      </c>
      <c r="J17" s="10">
        <f>I17*0.21</f>
        <v/>
      </c>
    </row>
    <row r="18">
      <c r="A18" s="8" t="inlineStr">
        <is>
          <t>2026-07-08</t>
        </is>
      </c>
      <c r="B18" s="8" t="inlineStr">
        <is>
          <t>KBC-kaart</t>
        </is>
      </c>
      <c r="C18" s="8" t="inlineStr">
        <is>
          <t>HOLO AI</t>
        </is>
      </c>
      <c r="D18" s="8" t="inlineStr">
        <is>
          <t>Marketing &amp; content</t>
        </is>
      </c>
      <c r="E18" s="8" t="inlineStr">
        <is>
          <t>EU</t>
        </is>
      </c>
      <c r="F18" s="8" t="inlineStr">
        <is>
          <t>88 / 55 / 59</t>
        </is>
      </c>
      <c r="G18" s="8" t="inlineStr">
        <is>
          <t>dienst Ierland/EU, verlegd</t>
        </is>
      </c>
      <c r="H18" s="9" t="n">
        <v>41.98</v>
      </c>
      <c r="I18" s="10">
        <f>H18</f>
        <v/>
      </c>
      <c r="J18" s="10">
        <f>I18*0.21</f>
        <v/>
      </c>
    </row>
    <row r="19">
      <c r="A19" s="8" t="inlineStr">
        <is>
          <t>2026-07-09</t>
        </is>
      </c>
      <c r="B19" s="8" t="inlineStr">
        <is>
          <t>KBC</t>
        </is>
      </c>
      <c r="C19" s="8" t="inlineStr">
        <is>
          <t>WIDEM LOGISTICS NV</t>
        </is>
      </c>
      <c r="D19" s="8" t="inlineStr">
        <is>
          <t>Widem (fulfilment, vracht, invoer)</t>
        </is>
      </c>
      <c r="E19" s="8" t="inlineStr">
        <is>
          <t>BE21</t>
        </is>
      </c>
      <c r="F19" s="8" t="inlineStr">
        <is>
          <t>82 (+ btw in 59)</t>
        </is>
      </c>
      <c r="G19" s="8" t="inlineStr">
        <is>
          <t>Belgische leverancier</t>
        </is>
      </c>
      <c r="H19" s="9" t="n">
        <v>261.04</v>
      </c>
      <c r="I19" s="10">
        <f>H19/1.21</f>
        <v/>
      </c>
      <c r="J19" s="10">
        <f>H19-I19</f>
        <v/>
      </c>
    </row>
    <row r="20">
      <c r="A20" s="8" t="inlineStr">
        <is>
          <t>2026-07-09</t>
        </is>
      </c>
      <c r="B20" s="8" t="inlineStr">
        <is>
          <t>KBC</t>
        </is>
      </c>
      <c r="C20" s="8" t="inlineStr">
        <is>
          <t>WIDEM LOGISTICS NV</t>
        </is>
      </c>
      <c r="D20" s="8" t="inlineStr">
        <is>
          <t>Widem (fulfilment, vracht, invoer)</t>
        </is>
      </c>
      <c r="E20" s="8" t="inlineStr">
        <is>
          <t>BE21</t>
        </is>
      </c>
      <c r="F20" s="8" t="inlineStr">
        <is>
          <t>82 (+ btw in 59)</t>
        </is>
      </c>
      <c r="G20" s="8" t="inlineStr">
        <is>
          <t>Belgische leverancier</t>
        </is>
      </c>
      <c r="H20" s="9" t="n">
        <v>364.58</v>
      </c>
      <c r="I20" s="10">
        <f>H20/1.21</f>
        <v/>
      </c>
      <c r="J20" s="10">
        <f>H20-I20</f>
        <v/>
      </c>
    </row>
    <row r="21">
      <c r="A21" s="8" t="inlineStr">
        <is>
          <t>2026-07-10</t>
        </is>
      </c>
      <c r="B21" s="8" t="inlineStr">
        <is>
          <t>KBC-kaart</t>
        </is>
      </c>
      <c r="C21" s="8" t="inlineStr">
        <is>
          <t>KLAVIYO INC. SOFTWARE</t>
        </is>
      </c>
      <c r="D21" s="8" t="inlineStr">
        <is>
          <t>Software &amp; abonnementen</t>
        </is>
      </c>
      <c r="E21" s="8" t="inlineStr">
        <is>
          <t>NONEU</t>
        </is>
      </c>
      <c r="F21" s="8" t="inlineStr">
        <is>
          <t>87 / 56 / 59</t>
        </is>
      </c>
      <c r="G21" s="8" t="inlineStr">
        <is>
          <t>dienst buiten EU, verlegd</t>
        </is>
      </c>
      <c r="H21" s="9" t="n">
        <v>53.5</v>
      </c>
      <c r="I21" s="10">
        <f>H21</f>
        <v/>
      </c>
      <c r="J21" s="10">
        <f>I21*0.21</f>
        <v/>
      </c>
    </row>
    <row r="22">
      <c r="A22" s="8" t="inlineStr">
        <is>
          <t>2026-07-11</t>
        </is>
      </c>
      <c r="B22" s="8" t="inlineStr">
        <is>
          <t>KBC-kaart</t>
        </is>
      </c>
      <c r="C22" s="8" t="inlineStr">
        <is>
          <t>SHOPIFY* 556521062</t>
        </is>
      </c>
      <c r="D22" s="8" t="inlineStr">
        <is>
          <t>Software &amp; abonnementen</t>
        </is>
      </c>
      <c r="E22" s="8" t="inlineStr">
        <is>
          <t>EU</t>
        </is>
      </c>
      <c r="F22" s="8" t="inlineStr">
        <is>
          <t>88 / 55 / 59</t>
        </is>
      </c>
      <c r="G22" s="8" t="inlineStr">
        <is>
          <t>dienst Ierland/EU, verlegd</t>
        </is>
      </c>
      <c r="H22" s="9" t="n">
        <v>141.39</v>
      </c>
      <c r="I22" s="10">
        <f>H22</f>
        <v/>
      </c>
      <c r="J22" s="10">
        <f>I22*0.21</f>
        <v/>
      </c>
    </row>
    <row r="23">
      <c r="A23" s="8" t="inlineStr">
        <is>
          <t>2026-07-12</t>
        </is>
      </c>
      <c r="B23" s="8" t="inlineStr">
        <is>
          <t>KBC-kaart</t>
        </is>
      </c>
      <c r="C23" s="8" t="inlineStr">
        <is>
          <t>Google ADS4790542578</t>
        </is>
      </c>
      <c r="D23" s="8" t="inlineStr">
        <is>
          <t>Ads Google</t>
        </is>
      </c>
      <c r="E23" s="8" t="inlineStr">
        <is>
          <t>EU</t>
        </is>
      </c>
      <c r="F23" s="8" t="inlineStr">
        <is>
          <t>88 / 55 / 59</t>
        </is>
      </c>
      <c r="G23" s="8" t="inlineStr">
        <is>
          <t>dienst Ierland/EU, verlegd</t>
        </is>
      </c>
      <c r="H23" s="9" t="n">
        <v>500</v>
      </c>
      <c r="I23" s="10">
        <f>H23</f>
        <v/>
      </c>
      <c r="J23" s="10">
        <f>I23*0.21</f>
        <v/>
      </c>
    </row>
    <row r="24">
      <c r="A24" s="8" t="inlineStr">
        <is>
          <t>2026-07-13</t>
        </is>
      </c>
      <c r="B24" s="8" t="inlineStr">
        <is>
          <t>KBC</t>
        </is>
      </c>
      <c r="C24" s="8" t="inlineStr">
        <is>
          <t>FACEBK *AF4S7TM7A2 IED04 X2K5 Dublin Betaling</t>
        </is>
      </c>
      <c r="D24" s="8" t="inlineStr">
        <is>
          <t>Ads Meta</t>
        </is>
      </c>
      <c r="E24" s="8" t="inlineStr">
        <is>
          <t>EU</t>
        </is>
      </c>
      <c r="F24" s="8" t="inlineStr">
        <is>
          <t>88 / 55 / 59</t>
        </is>
      </c>
      <c r="G24" s="8" t="inlineStr">
        <is>
          <t>dienst Ierland/EU, verlegd</t>
        </is>
      </c>
      <c r="H24" s="9" t="n">
        <v>800</v>
      </c>
      <c r="I24" s="10">
        <f>H24</f>
        <v/>
      </c>
      <c r="J24" s="10">
        <f>I24*0.21</f>
        <v/>
      </c>
    </row>
    <row r="25">
      <c r="A25" s="8" t="inlineStr">
        <is>
          <t>2026-07-14</t>
        </is>
      </c>
      <c r="B25" s="8" t="inlineStr">
        <is>
          <t>KBC-kaart</t>
        </is>
      </c>
      <c r="C25" s="8" t="inlineStr">
        <is>
          <t>PAYPAL *SMARTPAW</t>
        </is>
      </c>
      <c r="D25" s="8" t="inlineStr">
        <is>
          <t>Terugbetalingen aan klanten</t>
        </is>
      </c>
      <c r="E25" s="8" t="inlineStr">
        <is>
          <t>FIN</t>
        </is>
      </c>
      <c r="F25" s="8" t="inlineStr">
        <is>
          <t>—</t>
        </is>
      </c>
      <c r="G25" s="8" t="inlineStr">
        <is>
          <t>geen aankoop</t>
        </is>
      </c>
      <c r="H25" s="9" t="n">
        <v>200</v>
      </c>
      <c r="I25" s="10">
        <f>H25</f>
        <v/>
      </c>
      <c r="J25" s="10" t="n">
        <v>0</v>
      </c>
    </row>
    <row r="26">
      <c r="A26" s="8" t="inlineStr">
        <is>
          <t>2026-07-15</t>
        </is>
      </c>
      <c r="B26" s="8" t="inlineStr">
        <is>
          <t>KBC</t>
        </is>
      </c>
      <c r="C26" s="8" t="inlineStr">
        <is>
          <t>SMARTPAW VOF</t>
        </is>
      </c>
      <c r="D26" s="8" t="inlineStr">
        <is>
          <t>Aflossing KBC-krediet</t>
        </is>
      </c>
      <c r="E26" s="8" t="inlineStr">
        <is>
          <t>FIN</t>
        </is>
      </c>
      <c r="F26" s="8" t="inlineStr">
        <is>
          <t>—</t>
        </is>
      </c>
      <c r="G26" s="8" t="inlineStr">
        <is>
          <t>geen aankoop</t>
        </is>
      </c>
      <c r="H26" s="9" t="n">
        <v>525.23</v>
      </c>
      <c r="I26" s="10">
        <f>H26</f>
        <v/>
      </c>
      <c r="J26" s="10" t="n">
        <v>0</v>
      </c>
    </row>
    <row r="27">
      <c r="A27" s="8" t="inlineStr">
        <is>
          <t>2026-07-15</t>
        </is>
      </c>
      <c r="B27" s="8" t="inlineStr">
        <is>
          <t>KBC</t>
        </is>
      </c>
      <c r="C27" s="8" t="inlineStr">
        <is>
          <t>SMARTPAW VOF</t>
        </is>
      </c>
      <c r="D27" s="8" t="inlineStr">
        <is>
          <t>Rente KBC-krediet</t>
        </is>
      </c>
      <c r="E27" s="8" t="inlineStr">
        <is>
          <t>GEEN</t>
        </is>
      </c>
      <c r="F27" s="8" t="inlineStr">
        <is>
          <t>82 zonder btw</t>
        </is>
      </c>
      <c r="G27" s="8" t="inlineStr">
        <is>
          <t>vrijgesteld / geen btw</t>
        </is>
      </c>
      <c r="H27" s="9" t="n">
        <v>63.64</v>
      </c>
      <c r="I27" s="10">
        <f>H27</f>
        <v/>
      </c>
      <c r="J27" s="10" t="n">
        <v>0</v>
      </c>
    </row>
    <row r="28">
      <c r="A28" s="8" t="inlineStr">
        <is>
          <t>2026-07-19</t>
        </is>
      </c>
      <c r="B28" s="8" t="inlineStr">
        <is>
          <t>KBC</t>
        </is>
      </c>
      <c r="C28" s="8" t="inlineStr">
        <is>
          <t>Dienst BTW-ontvangsten</t>
        </is>
      </c>
      <c r="D28" s="8" t="inlineStr">
        <is>
          <t>Btw</t>
        </is>
      </c>
      <c r="E28" s="8" t="inlineStr">
        <is>
          <t>FIN</t>
        </is>
      </c>
      <c r="F28" s="8" t="inlineStr">
        <is>
          <t>—</t>
        </is>
      </c>
      <c r="G28" s="8" t="inlineStr">
        <is>
          <t>btw-betaling</t>
        </is>
      </c>
      <c r="H28" s="9" t="n">
        <v>3410.76</v>
      </c>
      <c r="I28" s="10">
        <f>H28</f>
        <v/>
      </c>
      <c r="J28" s="10" t="n">
        <v>0</v>
      </c>
    </row>
    <row r="29">
      <c r="A29" s="8" t="inlineStr">
        <is>
          <t>2026-07-19</t>
        </is>
      </c>
      <c r="B29" s="8" t="inlineStr">
        <is>
          <t>KBC</t>
        </is>
      </c>
      <c r="C29" s="8" t="inlineStr">
        <is>
          <t>FACEBK *G99QSTM8A2 IED04 X2K5 Dublin Betaling</t>
        </is>
      </c>
      <c r="D29" s="8" t="inlineStr">
        <is>
          <t>Ads Meta</t>
        </is>
      </c>
      <c r="E29" s="8" t="inlineStr">
        <is>
          <t>EU</t>
        </is>
      </c>
      <c r="F29" s="8" t="inlineStr">
        <is>
          <t>88 / 55 / 59</t>
        </is>
      </c>
      <c r="G29" s="8" t="inlineStr">
        <is>
          <t>dienst Ierland/EU, verlegd</t>
        </is>
      </c>
      <c r="H29" s="9" t="n">
        <v>800</v>
      </c>
      <c r="I29" s="10">
        <f>H29</f>
        <v/>
      </c>
      <c r="J29" s="10">
        <f>I29*0.21</f>
        <v/>
      </c>
    </row>
    <row r="30">
      <c r="A30" s="8" t="inlineStr">
        <is>
          <t>2026-07-19</t>
        </is>
      </c>
      <c r="B30" s="8" t="inlineStr">
        <is>
          <t>KBC</t>
        </is>
      </c>
      <c r="C30" s="8" t="inlineStr">
        <is>
          <t>HIGGSFIELD INC. US94105 SAN FRANCISCO Betalin</t>
        </is>
      </c>
      <c r="D30" s="8" t="inlineStr">
        <is>
          <t>Marketing &amp; content</t>
        </is>
      </c>
      <c r="E30" s="8" t="inlineStr">
        <is>
          <t>NONEU</t>
        </is>
      </c>
      <c r="F30" s="8" t="inlineStr">
        <is>
          <t>87 / 56 / 59</t>
        </is>
      </c>
      <c r="G30" s="8" t="inlineStr">
        <is>
          <t>dienst buiten EU, verlegd</t>
        </is>
      </c>
      <c r="H30" s="9" t="n">
        <v>72</v>
      </c>
      <c r="I30" s="10">
        <f>H30</f>
        <v/>
      </c>
      <c r="J30" s="10">
        <f>I30*0.21</f>
        <v/>
      </c>
    </row>
    <row r="31">
      <c r="A31" s="8" t="inlineStr">
        <is>
          <t>2026-07-20</t>
        </is>
      </c>
      <c r="B31" s="8" t="inlineStr">
        <is>
          <t>KBC-kaart</t>
        </is>
      </c>
      <c r="C31" s="8" t="inlineStr">
        <is>
          <t>SP PACKAGINGDISCOUNTER</t>
        </is>
      </c>
      <c r="D31" s="8" t="inlineStr">
        <is>
          <t>Voorraad (verpakking &amp; giveaways)</t>
        </is>
      </c>
      <c r="E31" s="8" t="inlineStr">
        <is>
          <t>NAKIJKEN</t>
        </is>
      </c>
      <c r="F31" s="8" t="inlineStr">
        <is>
          <t>?</t>
        </is>
      </c>
      <c r="G31" s="8" t="inlineStr">
        <is>
          <t>buitenlandse/onbekende leverancier</t>
        </is>
      </c>
      <c r="H31" s="9" t="n">
        <v>360</v>
      </c>
      <c r="I31" s="10">
        <f>H31</f>
        <v/>
      </c>
      <c r="J31" s="10" t="n">
        <v>0</v>
      </c>
    </row>
    <row r="32">
      <c r="A32" s="8" t="inlineStr">
        <is>
          <t>2026-07-20</t>
        </is>
      </c>
      <c r="B32" s="8" t="inlineStr">
        <is>
          <t>KBC-kaart</t>
        </is>
      </c>
      <c r="C32" s="8" t="inlineStr">
        <is>
          <t>SP PACKAGINGDISCOUNTER</t>
        </is>
      </c>
      <c r="D32" s="8" t="inlineStr">
        <is>
          <t>Voorraad (verpakking &amp; giveaways)</t>
        </is>
      </c>
      <c r="E32" s="8" t="inlineStr">
        <is>
          <t>NAKIJKEN</t>
        </is>
      </c>
      <c r="F32" s="8" t="inlineStr">
        <is>
          <t>?</t>
        </is>
      </c>
      <c r="G32" s="8" t="inlineStr">
        <is>
          <t>buitenlandse/onbekende leverancier</t>
        </is>
      </c>
      <c r="H32" s="9" t="n">
        <v>665</v>
      </c>
      <c r="I32" s="10">
        <f>H32</f>
        <v/>
      </c>
      <c r="J32" s="10" t="n">
        <v>0</v>
      </c>
    </row>
    <row r="33">
      <c r="A33" s="8" t="inlineStr">
        <is>
          <t>2026-07-23</t>
        </is>
      </c>
      <c r="B33" s="8" t="inlineStr">
        <is>
          <t>KBC</t>
        </is>
      </c>
      <c r="C33" s="8" t="inlineStr">
        <is>
          <t>BPOST NV BE1000 BRUXELLES Betaling met KBC-De</t>
        </is>
      </c>
      <c r="D33" s="8" t="inlineStr">
        <is>
          <t>Verzending &amp; retours (overig)</t>
        </is>
      </c>
      <c r="E33" s="8" t="inlineStr">
        <is>
          <t>BE21</t>
        </is>
      </c>
      <c r="F33" s="8" t="inlineStr">
        <is>
          <t>82 (+ btw in 59)</t>
        </is>
      </c>
      <c r="G33" s="8" t="inlineStr">
        <is>
          <t>Belgische leverancier</t>
        </is>
      </c>
      <c r="H33" s="9" t="n">
        <v>5.6</v>
      </c>
      <c r="I33" s="10">
        <f>H33/1.21</f>
        <v/>
      </c>
      <c r="J33" s="10">
        <f>H33-I33</f>
        <v/>
      </c>
    </row>
    <row r="34">
      <c r="A34" s="8" t="inlineStr">
        <is>
          <t>2026-07-23</t>
        </is>
      </c>
      <c r="B34" s="8" t="inlineStr">
        <is>
          <t>KBC</t>
        </is>
      </c>
      <c r="C34" s="8" t="inlineStr">
        <is>
          <t>YAKI NOODLE BAR BE9000 GENT Betaling met KBC-</t>
        </is>
      </c>
      <c r="D34" s="8" t="inlineStr">
        <is>
          <t>Representatie &amp; reizen</t>
        </is>
      </c>
      <c r="E34" s="8" t="inlineStr">
        <is>
          <t>BE21NA</t>
        </is>
      </c>
      <c r="F34" s="8" t="inlineStr">
        <is>
          <t>82 (btw niet aftrekbaar)</t>
        </is>
      </c>
      <c r="G34" s="8" t="inlineStr">
        <is>
          <t>restaurant/representatie</t>
        </is>
      </c>
      <c r="H34" s="9" t="n">
        <v>15</v>
      </c>
      <c r="I34" s="10">
        <f>H34/1.21</f>
        <v/>
      </c>
      <c r="J34" s="10">
        <f>H34-I34</f>
        <v/>
      </c>
    </row>
    <row r="35">
      <c r="A35" s="8" t="inlineStr">
        <is>
          <t>2026-07-26</t>
        </is>
      </c>
      <c r="B35" s="8" t="inlineStr">
        <is>
          <t>KBC</t>
        </is>
      </c>
      <c r="C35" s="8" t="inlineStr">
        <is>
          <t>FACEBK *25EEEVR7A2 IED04 X2K5 Dublin Betaling</t>
        </is>
      </c>
      <c r="D35" s="8" t="inlineStr">
        <is>
          <t>Ads Meta</t>
        </is>
      </c>
      <c r="E35" s="8" t="inlineStr">
        <is>
          <t>EU</t>
        </is>
      </c>
      <c r="F35" s="8" t="inlineStr">
        <is>
          <t>88 / 55 / 59</t>
        </is>
      </c>
      <c r="G35" s="8" t="inlineStr">
        <is>
          <t>dienst Ierland/EU, verlegd</t>
        </is>
      </c>
      <c r="H35" s="9" t="n">
        <v>800</v>
      </c>
      <c r="I35" s="10">
        <f>H35</f>
        <v/>
      </c>
      <c r="J35" s="10">
        <f>I35*0.21</f>
        <v/>
      </c>
    </row>
    <row r="36">
      <c r="A36" s="8" t="inlineStr">
        <is>
          <t>2026-07-26</t>
        </is>
      </c>
      <c r="B36" s="8" t="inlineStr">
        <is>
          <t>KBC</t>
        </is>
      </c>
      <c r="C36" s="8" t="inlineStr">
        <is>
          <t>AMBULANTE ZELFSTANDIGEN VZW</t>
        </is>
      </c>
      <c r="D36" s="8" t="inlineStr">
        <is>
          <t>Markten &amp; events</t>
        </is>
      </c>
      <c r="E36" s="8" t="inlineStr">
        <is>
          <t>NAKIJKEN</t>
        </is>
      </c>
      <c r="F36" s="8" t="inlineStr">
        <is>
          <t>?</t>
        </is>
      </c>
      <c r="G36" s="8" t="inlineStr">
        <is>
          <t>lidmaatschap/standgeld: btw?</t>
        </is>
      </c>
      <c r="H36" s="9" t="n">
        <v>210</v>
      </c>
      <c r="I36" s="10">
        <f>H36</f>
        <v/>
      </c>
      <c r="J36" s="10" t="n">
        <v>0</v>
      </c>
    </row>
    <row r="37">
      <c r="A37" s="8" t="inlineStr">
        <is>
          <t>2026-07-26</t>
        </is>
      </c>
      <c r="B37" s="8" t="inlineStr">
        <is>
          <t>KBC</t>
        </is>
      </c>
      <c r="C37" s="8" t="inlineStr">
        <is>
          <t>Shopify Hardware Store IED04 Xn32 Dublin Beta</t>
        </is>
      </c>
      <c r="D37" s="8" t="inlineStr">
        <is>
          <t>Materiaal</t>
        </is>
      </c>
      <c r="E37" s="8" t="inlineStr">
        <is>
          <t>BE21</t>
        </is>
      </c>
      <c r="F37" s="8" t="inlineStr">
        <is>
          <t>82 (+ btw in 59)</t>
        </is>
      </c>
      <c r="G37" s="8" t="inlineStr">
        <is>
          <t>Belgische leverancier</t>
        </is>
      </c>
      <c r="H37" s="9" t="n">
        <v>59</v>
      </c>
      <c r="I37" s="10">
        <f>H37/1.21</f>
        <v/>
      </c>
      <c r="J37" s="10">
        <f>H37-I37</f>
        <v/>
      </c>
    </row>
    <row r="38">
      <c r="A38" s="8" t="inlineStr">
        <is>
          <t>2026-07-26</t>
        </is>
      </c>
      <c r="B38" s="8" t="inlineStr">
        <is>
          <t>KBC</t>
        </is>
      </c>
      <c r="C38" s="8" t="inlineStr">
        <is>
          <t>KBC Verzekeringen</t>
        </is>
      </c>
      <c r="D38" s="8" t="inlineStr">
        <is>
          <t>Verzekering</t>
        </is>
      </c>
      <c r="E38" s="8" t="inlineStr">
        <is>
          <t>GEEN</t>
        </is>
      </c>
      <c r="F38" s="8" t="inlineStr">
        <is>
          <t>82 zonder btw</t>
        </is>
      </c>
      <c r="G38" s="8" t="inlineStr">
        <is>
          <t>vrijgesteld / geen btw</t>
        </is>
      </c>
      <c r="H38" s="9" t="n">
        <v>18.47</v>
      </c>
      <c r="I38" s="10">
        <f>H38</f>
        <v/>
      </c>
      <c r="J38" s="10" t="n">
        <v>0</v>
      </c>
    </row>
    <row r="39">
      <c r="A39" s="8" t="inlineStr">
        <is>
          <t>2026-07-26</t>
        </is>
      </c>
      <c r="B39" s="8" t="inlineStr">
        <is>
          <t>KBC</t>
        </is>
      </c>
      <c r="C39" s="8" t="inlineStr">
        <is>
          <t>FINDAJOB BV</t>
        </is>
      </c>
      <c r="D39" s="8" t="inlineStr">
        <is>
          <t>Personeel (student)</t>
        </is>
      </c>
      <c r="E39" s="8" t="inlineStr">
        <is>
          <t>BE21</t>
        </is>
      </c>
      <c r="F39" s="8" t="inlineStr">
        <is>
          <t>82 (+ btw in 59)</t>
        </is>
      </c>
      <c r="G39" s="8" t="inlineStr">
        <is>
          <t>Belgische leverancier</t>
        </is>
      </c>
      <c r="H39" s="9" t="n">
        <v>293.64</v>
      </c>
      <c r="I39" s="10">
        <f>H39/1.21</f>
        <v/>
      </c>
      <c r="J39" s="10">
        <f>H39-I39</f>
        <v/>
      </c>
    </row>
    <row r="40">
      <c r="A40" s="8" t="inlineStr">
        <is>
          <t>2026-07-27</t>
        </is>
      </c>
      <c r="B40" s="8" t="inlineStr">
        <is>
          <t>KBC</t>
        </is>
      </c>
      <c r="C40" s="8" t="inlineStr">
        <is>
          <t>BPOST NV BE1000 BRUXELLES Betaling met KBC-De</t>
        </is>
      </c>
      <c r="D40" s="8" t="inlineStr">
        <is>
          <t>Verzending &amp; retours (overig)</t>
        </is>
      </c>
      <c r="E40" s="8" t="inlineStr">
        <is>
          <t>BE21</t>
        </is>
      </c>
      <c r="F40" s="8" t="inlineStr">
        <is>
          <t>82 (+ btw in 59)</t>
        </is>
      </c>
      <c r="G40" s="8" t="inlineStr">
        <is>
          <t>Belgische leverancier</t>
        </is>
      </c>
      <c r="H40" s="9" t="n">
        <v>7.1</v>
      </c>
      <c r="I40" s="10">
        <f>H40/1.21</f>
        <v/>
      </c>
      <c r="J40" s="10">
        <f>H40-I40</f>
        <v/>
      </c>
    </row>
    <row r="41">
      <c r="A41" s="8" t="inlineStr">
        <is>
          <t>2026-07-28</t>
        </is>
      </c>
      <c r="B41" s="8" t="inlineStr">
        <is>
          <t>KBC</t>
        </is>
      </c>
      <c r="C41" s="8" t="inlineStr">
        <is>
          <t>bpost parcel</t>
        </is>
      </c>
      <c r="D41" s="8" t="inlineStr">
        <is>
          <t>Verzending &amp; retours (overig)</t>
        </is>
      </c>
      <c r="E41" s="8" t="inlineStr">
        <is>
          <t>BE21</t>
        </is>
      </c>
      <c r="F41" s="8" t="inlineStr">
        <is>
          <t>82 (+ btw in 59)</t>
        </is>
      </c>
      <c r="G41" s="8" t="inlineStr">
        <is>
          <t>Belgische leverancier</t>
        </is>
      </c>
      <c r="H41" s="9" t="n">
        <v>7.1</v>
      </c>
      <c r="I41" s="10">
        <f>H41/1.21</f>
        <v/>
      </c>
      <c r="J41" s="10">
        <f>H41-I41</f>
        <v/>
      </c>
    </row>
    <row r="42">
      <c r="A42" s="8" t="inlineStr">
        <is>
          <t>2026-07-28</t>
        </is>
      </c>
      <c r="B42" s="8" t="inlineStr">
        <is>
          <t>KBC</t>
        </is>
      </c>
      <c r="C42" s="8" t="inlineStr">
        <is>
          <t>Plus Gent BE9000 Gent Betaling met KBC-Debetk</t>
        </is>
      </c>
      <c r="D42" s="8" t="inlineStr">
        <is>
          <t>Materiaal</t>
        </is>
      </c>
      <c r="E42" s="8" t="inlineStr">
        <is>
          <t>BE21</t>
        </is>
      </c>
      <c r="F42" s="8" t="inlineStr">
        <is>
          <t>82 (+ btw in 59)</t>
        </is>
      </c>
      <c r="G42" s="8" t="inlineStr">
        <is>
          <t>Belgische leverancier</t>
        </is>
      </c>
      <c r="H42" s="9" t="n">
        <v>47.1</v>
      </c>
      <c r="I42" s="10">
        <f>H42/1.21</f>
        <v/>
      </c>
      <c r="J42" s="10">
        <f>H42-I42</f>
        <v/>
      </c>
    </row>
    <row r="43">
      <c r="A43" s="8" t="inlineStr">
        <is>
          <t>2026-07-30</t>
        </is>
      </c>
      <c r="B43" s="8" t="inlineStr">
        <is>
          <t>KBC</t>
        </is>
      </c>
      <c r="C43" s="8" t="inlineStr">
        <is>
          <t>FACEBK *Y2RWNU98A2 IED04 X2K5 Dublin Betaling</t>
        </is>
      </c>
      <c r="D43" s="8" t="inlineStr">
        <is>
          <t>Ads Meta</t>
        </is>
      </c>
      <c r="E43" s="8" t="inlineStr">
        <is>
          <t>EU</t>
        </is>
      </c>
      <c r="F43" s="8" t="inlineStr">
        <is>
          <t>88 / 55 / 59</t>
        </is>
      </c>
      <c r="G43" s="8" t="inlineStr">
        <is>
          <t>dienst Ierland/EU, verlegd</t>
        </is>
      </c>
      <c r="H43" s="9" t="n">
        <v>800</v>
      </c>
      <c r="I43" s="10">
        <f>H43</f>
        <v/>
      </c>
      <c r="J43" s="10">
        <f>I43*0.21</f>
        <v/>
      </c>
    </row>
    <row r="44">
      <c r="A44" s="8" t="inlineStr">
        <is>
          <t>2026-08-01</t>
        </is>
      </c>
      <c r="B44" s="8" t="inlineStr">
        <is>
          <t>KBC-kaart</t>
        </is>
      </c>
      <c r="C44" s="8" t="inlineStr">
        <is>
          <t>Google ADS4790542578</t>
        </is>
      </c>
      <c r="D44" s="8" t="inlineStr">
        <is>
          <t>Ads Google</t>
        </is>
      </c>
      <c r="E44" s="8" t="inlineStr">
        <is>
          <t>EU</t>
        </is>
      </c>
      <c r="F44" s="8" t="inlineStr">
        <is>
          <t>88 / 55 / 59</t>
        </is>
      </c>
      <c r="G44" s="8" t="inlineStr">
        <is>
          <t>dienst Ierland/EU, verlegd</t>
        </is>
      </c>
      <c r="H44" s="9" t="n">
        <v>198.56</v>
      </c>
      <c r="I44" s="10">
        <f>H44</f>
        <v/>
      </c>
      <c r="J44" s="10">
        <f>I44*0.21</f>
        <v/>
      </c>
    </row>
    <row r="45">
      <c r="A45" s="8" t="inlineStr">
        <is>
          <t>2026-08-02</t>
        </is>
      </c>
      <c r="B45" s="8" t="inlineStr">
        <is>
          <t>KBC</t>
        </is>
      </c>
      <c r="C45" s="8" t="inlineStr">
        <is>
          <t>FACEBK *CTEE3XH8A2 IED04 X2K5 Dublin Betaling</t>
        </is>
      </c>
      <c r="D45" s="8" t="inlineStr">
        <is>
          <t>Ads Meta</t>
        </is>
      </c>
      <c r="E45" s="8" t="inlineStr">
        <is>
          <t>EU</t>
        </is>
      </c>
      <c r="F45" s="8" t="inlineStr">
        <is>
          <t>88 / 55 / 59</t>
        </is>
      </c>
      <c r="G45" s="8" t="inlineStr">
        <is>
          <t>dienst Ierland/EU, verlegd</t>
        </is>
      </c>
      <c r="H45" s="9" t="n">
        <v>800</v>
      </c>
      <c r="I45" s="10">
        <f>H45</f>
        <v/>
      </c>
      <c r="J45" s="10">
        <f>I45*0.21</f>
        <v/>
      </c>
    </row>
    <row r="46">
      <c r="A46" s="8" t="inlineStr">
        <is>
          <t>2026-08-02</t>
        </is>
      </c>
      <c r="B46" s="8" t="inlineStr">
        <is>
          <t>KBC</t>
        </is>
      </c>
      <c r="C46" s="8" t="inlineStr">
        <is>
          <t>bpost parcel</t>
        </is>
      </c>
      <c r="D46" s="8" t="inlineStr">
        <is>
          <t>Verzending &amp; retours (overig)</t>
        </is>
      </c>
      <c r="E46" s="8" t="inlineStr">
        <is>
          <t>BE21</t>
        </is>
      </c>
      <c r="F46" s="8" t="inlineStr">
        <is>
          <t>82 (+ btw in 59)</t>
        </is>
      </c>
      <c r="G46" s="8" t="inlineStr">
        <is>
          <t>Belgische leverancier</t>
        </is>
      </c>
      <c r="H46" s="9" t="n">
        <v>7.85</v>
      </c>
      <c r="I46" s="10">
        <f>H46/1.21</f>
        <v/>
      </c>
      <c r="J46" s="10">
        <f>H46-I46</f>
        <v/>
      </c>
    </row>
    <row r="47">
      <c r="A47" s="8" t="inlineStr">
        <is>
          <t>2026-08-02</t>
        </is>
      </c>
      <c r="B47" s="8" t="inlineStr">
        <is>
          <t>KBC</t>
        </is>
      </c>
      <c r="C47" s="8" t="inlineStr">
        <is>
          <t>GOOGLE*WORKSPACE SMART IED02 R296 CC GOOGLE.C</t>
        </is>
      </c>
      <c r="D47" s="8" t="inlineStr">
        <is>
          <t>Software &amp; abonnementen</t>
        </is>
      </c>
      <c r="E47" s="8" t="inlineStr">
        <is>
          <t>EU</t>
        </is>
      </c>
      <c r="F47" s="8" t="inlineStr">
        <is>
          <t>88 / 55 / 59</t>
        </is>
      </c>
      <c r="G47" s="8" t="inlineStr">
        <is>
          <t>dienst Ierland/EU, verlegd</t>
        </is>
      </c>
      <c r="H47" s="9" t="n">
        <v>75.90000000000001</v>
      </c>
      <c r="I47" s="10">
        <f>H47</f>
        <v/>
      </c>
      <c r="J47" s="10">
        <f>I47*0.21</f>
        <v/>
      </c>
    </row>
    <row r="48">
      <c r="A48" s="8" t="inlineStr">
        <is>
          <t>2026-08-03</t>
        </is>
      </c>
      <c r="B48" s="8" t="inlineStr">
        <is>
          <t>KBC</t>
        </is>
      </c>
      <c r="C48" s="8" t="inlineStr">
        <is>
          <t>Yuki Works NV via Mollie</t>
        </is>
      </c>
      <c r="D48" s="8" t="inlineStr">
        <is>
          <t>Software &amp; abonnementen</t>
        </is>
      </c>
      <c r="E48" s="8" t="inlineStr">
        <is>
          <t>BE21</t>
        </is>
      </c>
      <c r="F48" s="8" t="inlineStr">
        <is>
          <t>82 (+ btw in 59)</t>
        </is>
      </c>
      <c r="G48" s="8" t="inlineStr">
        <is>
          <t>Belgische leverancier</t>
        </is>
      </c>
      <c r="H48" s="9" t="n">
        <v>2.42</v>
      </c>
      <c r="I48" s="10">
        <f>H48/1.21</f>
        <v/>
      </c>
      <c r="J48" s="10">
        <f>H48-I48</f>
        <v/>
      </c>
    </row>
    <row r="49">
      <c r="A49" s="8" t="inlineStr">
        <is>
          <t>2026-08-04</t>
        </is>
      </c>
      <c r="B49" s="8" t="inlineStr">
        <is>
          <t>KBC</t>
        </is>
      </c>
      <c r="C49" s="8" t="inlineStr">
        <is>
          <t>FACEBK *LWJTNVM7A2 IED04 X2K5 Dublin Betaling</t>
        </is>
      </c>
      <c r="D49" s="8" t="inlineStr">
        <is>
          <t>Ads Meta</t>
        </is>
      </c>
      <c r="E49" s="8" t="inlineStr">
        <is>
          <t>EU</t>
        </is>
      </c>
      <c r="F49" s="8" t="inlineStr">
        <is>
          <t>88 / 55 / 59</t>
        </is>
      </c>
      <c r="G49" s="8" t="inlineStr">
        <is>
          <t>dienst Ierland/EU, verlegd</t>
        </is>
      </c>
      <c r="H49" s="9" t="n">
        <v>800</v>
      </c>
      <c r="I49" s="10">
        <f>H49</f>
        <v/>
      </c>
      <c r="J49" s="10">
        <f>I49*0.21</f>
        <v/>
      </c>
    </row>
    <row r="50">
      <c r="A50" s="8" t="inlineStr">
        <is>
          <t>2026-08-06</t>
        </is>
      </c>
      <c r="B50" s="8" t="inlineStr">
        <is>
          <t>KBC-kaart</t>
        </is>
      </c>
      <c r="C50" s="8" t="inlineStr">
        <is>
          <t>SHOPIFY* 569354127</t>
        </is>
      </c>
      <c r="D50" s="8" t="inlineStr">
        <is>
          <t>Software &amp; abonnementen</t>
        </is>
      </c>
      <c r="E50" s="8" t="inlineStr">
        <is>
          <t>EU</t>
        </is>
      </c>
      <c r="F50" s="8" t="inlineStr">
        <is>
          <t>88 / 55 / 59</t>
        </is>
      </c>
      <c r="G50" s="8" t="inlineStr">
        <is>
          <t>dienst Ierland/EU, verlegd</t>
        </is>
      </c>
      <c r="H50" s="9" t="n">
        <v>174.81</v>
      </c>
      <c r="I50" s="10">
        <f>H50</f>
        <v/>
      </c>
      <c r="J50" s="10">
        <f>I50*0.21</f>
        <v/>
      </c>
    </row>
    <row r="51">
      <c r="A51" s="8" t="inlineStr">
        <is>
          <t>2026-08-08</t>
        </is>
      </c>
      <c r="B51" s="8" t="inlineStr">
        <is>
          <t>Revolut</t>
        </is>
      </c>
      <c r="C51" s="8" t="inlineStr">
        <is>
          <t>Company Pro plan fee</t>
        </is>
      </c>
      <c r="D51" s="8" t="inlineStr">
        <is>
          <t>Software &amp; abonnementen</t>
        </is>
      </c>
      <c r="E51" s="8" t="inlineStr">
        <is>
          <t>GEEN</t>
        </is>
      </c>
      <c r="F51" s="8" t="inlineStr">
        <is>
          <t>82 zonder btw</t>
        </is>
      </c>
      <c r="G51" s="8" t="inlineStr">
        <is>
          <t>vrijgesteld / geen btw</t>
        </is>
      </c>
      <c r="H51" s="9" t="n">
        <v>35</v>
      </c>
      <c r="I51" s="10">
        <f>H51</f>
        <v/>
      </c>
      <c r="J51" s="10" t="n">
        <v>0</v>
      </c>
    </row>
    <row r="52">
      <c r="A52" s="8" t="inlineStr">
        <is>
          <t>2026-08-09</t>
        </is>
      </c>
      <c r="B52" s="8" t="inlineStr">
        <is>
          <t>KBC</t>
        </is>
      </c>
      <c r="C52" s="8" t="inlineStr">
        <is>
          <t>Action 2009 BE8560 Wevelgem Betaling met Appl</t>
        </is>
      </c>
      <c r="D52" s="8" t="inlineStr">
        <is>
          <t>Materiaal</t>
        </is>
      </c>
      <c r="E52" s="8" t="inlineStr">
        <is>
          <t>BE21</t>
        </is>
      </c>
      <c r="F52" s="8" t="inlineStr">
        <is>
          <t>82 (+ btw in 59)</t>
        </is>
      </c>
      <c r="G52" s="8" t="inlineStr">
        <is>
          <t>Belgische leverancier</t>
        </is>
      </c>
      <c r="H52" s="9" t="n">
        <v>10.02</v>
      </c>
      <c r="I52" s="10">
        <f>H52/1.21</f>
        <v/>
      </c>
      <c r="J52" s="10">
        <f>H52-I52</f>
        <v/>
      </c>
    </row>
    <row r="53">
      <c r="A53" s="8" t="inlineStr">
        <is>
          <t>2026-08-09</t>
        </is>
      </c>
      <c r="B53" s="8" t="inlineStr">
        <is>
          <t>KBC</t>
        </is>
      </c>
      <c r="C53" s="8" t="inlineStr">
        <is>
          <t>FACEBK *XWUSXWR7A2 IED04 X2K5 Dublin Betaling</t>
        </is>
      </c>
      <c r="D53" s="8" t="inlineStr">
        <is>
          <t>Ads Meta</t>
        </is>
      </c>
      <c r="E53" s="8" t="inlineStr">
        <is>
          <t>EU</t>
        </is>
      </c>
      <c r="F53" s="8" t="inlineStr">
        <is>
          <t>88 / 55 / 59</t>
        </is>
      </c>
      <c r="G53" s="8" t="inlineStr">
        <is>
          <t>dienst Ierland/EU, verlegd</t>
        </is>
      </c>
      <c r="H53" s="9" t="n">
        <v>757.53</v>
      </c>
      <c r="I53" s="10">
        <f>H53</f>
        <v/>
      </c>
      <c r="J53" s="10">
        <f>I53*0.21</f>
        <v/>
      </c>
    </row>
    <row r="54">
      <c r="A54" s="8" t="inlineStr">
        <is>
          <t>2026-08-10</t>
        </is>
      </c>
      <c r="B54" s="8" t="inlineStr">
        <is>
          <t>KBC</t>
        </is>
      </c>
      <c r="C54" s="8" t="inlineStr">
        <is>
          <t>AMBULANTE ZELFSTANDIGEN VZW</t>
        </is>
      </c>
      <c r="D54" s="8" t="inlineStr">
        <is>
          <t>Markten &amp; events</t>
        </is>
      </c>
      <c r="E54" s="8" t="inlineStr">
        <is>
          <t>NAKIJKEN</t>
        </is>
      </c>
      <c r="F54" s="8" t="inlineStr">
        <is>
          <t>?</t>
        </is>
      </c>
      <c r="G54" s="8" t="inlineStr">
        <is>
          <t>lidmaatschap/standgeld: btw?</t>
        </is>
      </c>
      <c r="H54" s="9" t="n">
        <v>230</v>
      </c>
      <c r="I54" s="10">
        <f>H54</f>
        <v/>
      </c>
      <c r="J54" s="10" t="n">
        <v>0</v>
      </c>
    </row>
    <row r="55">
      <c r="A55" s="8" t="inlineStr">
        <is>
          <t>2026-08-10</t>
        </is>
      </c>
      <c r="B55" s="8" t="inlineStr">
        <is>
          <t>KBC</t>
        </is>
      </c>
      <c r="C55" s="8" t="inlineStr">
        <is>
          <t>Hotel on Booking.com NL1017 CE AMSTERDAM Beta</t>
        </is>
      </c>
      <c r="D55" s="8" t="inlineStr">
        <is>
          <t>Representatie &amp; reizen</t>
        </is>
      </c>
      <c r="E55" s="8" t="inlineStr">
        <is>
          <t>GEEN</t>
        </is>
      </c>
      <c r="F55" s="8" t="inlineStr">
        <is>
          <t>82 zonder btw</t>
        </is>
      </c>
      <c r="G55" s="8" t="inlineStr">
        <is>
          <t>hotel buitenland, buitenlandse btw niet aftrekbaar</t>
        </is>
      </c>
      <c r="H55" s="9" t="n">
        <v>94.25</v>
      </c>
      <c r="I55" s="10">
        <f>H55</f>
        <v/>
      </c>
      <c r="J55" s="10" t="n">
        <v>0</v>
      </c>
    </row>
    <row r="56">
      <c r="A56" s="8" t="inlineStr">
        <is>
          <t>2026-08-10</t>
        </is>
      </c>
      <c r="B56" s="8" t="inlineStr">
        <is>
          <t>KBC</t>
        </is>
      </c>
      <c r="C56" s="8" t="inlineStr">
        <is>
          <t>FACEBK *F7VQBWM8A2 IED04 X2K5 Dublin Betaling</t>
        </is>
      </c>
      <c r="D56" s="8" t="inlineStr">
        <is>
          <t>Ads Meta</t>
        </is>
      </c>
      <c r="E56" s="8" t="inlineStr">
        <is>
          <t>EU</t>
        </is>
      </c>
      <c r="F56" s="8" t="inlineStr">
        <is>
          <t>88 / 55 / 59</t>
        </is>
      </c>
      <c r="G56" s="8" t="inlineStr">
        <is>
          <t>dienst Ierland/EU, verlegd</t>
        </is>
      </c>
      <c r="H56" s="9" t="n">
        <v>800</v>
      </c>
      <c r="I56" s="10">
        <f>H56</f>
        <v/>
      </c>
      <c r="J56" s="10">
        <f>I56*0.21</f>
        <v/>
      </c>
    </row>
    <row r="57">
      <c r="A57" s="8" t="inlineStr">
        <is>
          <t>2026-08-10</t>
        </is>
      </c>
      <c r="B57" s="8" t="inlineStr">
        <is>
          <t>KBC</t>
        </is>
      </c>
      <c r="C57" s="8" t="inlineStr">
        <is>
          <t>AMBULANTE ZELFSTANDIGEN VZW</t>
        </is>
      </c>
      <c r="D57" s="8" t="inlineStr">
        <is>
          <t>Markten &amp; events</t>
        </is>
      </c>
      <c r="E57" s="8" t="inlineStr">
        <is>
          <t>NAKIJKEN</t>
        </is>
      </c>
      <c r="F57" s="8" t="inlineStr">
        <is>
          <t>?</t>
        </is>
      </c>
      <c r="G57" s="8" t="inlineStr">
        <is>
          <t>lidmaatschap/standgeld: btw?</t>
        </is>
      </c>
      <c r="H57" s="9" t="n">
        <v>230</v>
      </c>
      <c r="I57" s="10">
        <f>H57</f>
        <v/>
      </c>
      <c r="J57" s="10" t="n">
        <v>0</v>
      </c>
    </row>
    <row r="58">
      <c r="A58" s="8" t="inlineStr">
        <is>
          <t>2026-08-10</t>
        </is>
      </c>
      <c r="B58" s="8" t="inlineStr">
        <is>
          <t>KBC-kaart</t>
        </is>
      </c>
      <c r="C58" s="8" t="inlineStr">
        <is>
          <t>SHOPIFY* 571029665</t>
        </is>
      </c>
      <c r="D58" s="8" t="inlineStr">
        <is>
          <t>Software &amp; abonnementen</t>
        </is>
      </c>
      <c r="E58" s="8" t="inlineStr">
        <is>
          <t>EU</t>
        </is>
      </c>
      <c r="F58" s="8" t="inlineStr">
        <is>
          <t>88 / 55 / 59</t>
        </is>
      </c>
      <c r="G58" s="8" t="inlineStr">
        <is>
          <t>dienst Ierland/EU, verlegd</t>
        </is>
      </c>
      <c r="H58" s="9" t="n">
        <v>32</v>
      </c>
      <c r="I58" s="10">
        <f>H58</f>
        <v/>
      </c>
      <c r="J58" s="10">
        <f>I58*0.21</f>
        <v/>
      </c>
    </row>
    <row r="59">
      <c r="A59" s="8" t="inlineStr">
        <is>
          <t>2026-08-10</t>
        </is>
      </c>
      <c r="B59" s="8" t="inlineStr">
        <is>
          <t>KBC-kaart</t>
        </is>
      </c>
      <c r="C59" s="8" t="inlineStr">
        <is>
          <t>KLAVIYO INC. SOFTWARE</t>
        </is>
      </c>
      <c r="D59" s="8" t="inlineStr">
        <is>
          <t>Software &amp; abonnementen</t>
        </is>
      </c>
      <c r="E59" s="8" t="inlineStr">
        <is>
          <t>NONEU</t>
        </is>
      </c>
      <c r="F59" s="8" t="inlineStr">
        <is>
          <t>87 / 56 / 59</t>
        </is>
      </c>
      <c r="G59" s="8" t="inlineStr">
        <is>
          <t>dienst buiten EU, verlegd</t>
        </is>
      </c>
      <c r="H59" s="9" t="n">
        <v>52.94</v>
      </c>
      <c r="I59" s="10">
        <f>H59</f>
        <v/>
      </c>
      <c r="J59" s="10">
        <f>I59*0.21</f>
        <v/>
      </c>
    </row>
    <row r="60">
      <c r="A60" s="8" t="inlineStr">
        <is>
          <t>2026-08-11</t>
        </is>
      </c>
      <c r="B60" s="8" t="inlineStr">
        <is>
          <t>KBC</t>
        </is>
      </c>
      <c r="C60" s="8" t="inlineStr">
        <is>
          <t>Drukbedrijf.nl NL1114AE Amsterdam Betaling me</t>
        </is>
      </c>
      <c r="D60" s="8" t="inlineStr">
        <is>
          <t>Marketing &amp; content</t>
        </is>
      </c>
      <c r="E60" s="8" t="inlineStr">
        <is>
          <t>NAKIJKEN</t>
        </is>
      </c>
      <c r="F60" s="8" t="inlineStr">
        <is>
          <t>?</t>
        </is>
      </c>
      <c r="G60" s="8" t="inlineStr">
        <is>
          <t>buitenlandse/onbekende leverancier</t>
        </is>
      </c>
      <c r="H60" s="9" t="n">
        <v>174.28</v>
      </c>
      <c r="I60" s="10">
        <f>H60</f>
        <v/>
      </c>
      <c r="J60" s="10" t="n">
        <v>0</v>
      </c>
    </row>
    <row r="61">
      <c r="A61" s="8" t="inlineStr">
        <is>
          <t>2026-08-13</t>
        </is>
      </c>
      <c r="B61" s="8" t="inlineStr">
        <is>
          <t>KBC</t>
        </is>
      </c>
      <c r="C61" s="8" t="inlineStr">
        <is>
          <t>THE SANTIBAL BE8700 TIELT Betaling met KBC-De</t>
        </is>
      </c>
      <c r="D61" s="8" t="inlineStr">
        <is>
          <t>Representatie &amp; reizen</t>
        </is>
      </c>
      <c r="E61" s="8" t="inlineStr">
        <is>
          <t>BE21NA</t>
        </is>
      </c>
      <c r="F61" s="8" t="inlineStr">
        <is>
          <t>82 (btw niet aftrekbaar)</t>
        </is>
      </c>
      <c r="G61" s="8" t="inlineStr">
        <is>
          <t>restaurant/representatie</t>
        </is>
      </c>
      <c r="H61" s="9" t="n">
        <v>27</v>
      </c>
      <c r="I61" s="10">
        <f>H61/1.21</f>
        <v/>
      </c>
      <c r="J61" s="10">
        <f>H61-I61</f>
        <v/>
      </c>
    </row>
    <row r="62">
      <c r="A62" s="8" t="inlineStr">
        <is>
          <t>2026-08-14</t>
        </is>
      </c>
      <c r="B62" s="8" t="inlineStr">
        <is>
          <t>KBC-kaart</t>
        </is>
      </c>
      <c r="C62" s="8" t="inlineStr">
        <is>
          <t>FACEBK *JHMLRWM8A2</t>
        </is>
      </c>
      <c r="D62" s="8" t="inlineStr">
        <is>
          <t>Ads Meta</t>
        </is>
      </c>
      <c r="E62" s="8" t="inlineStr">
        <is>
          <t>EU</t>
        </is>
      </c>
      <c r="F62" s="8" t="inlineStr">
        <is>
          <t>88 / 55 / 59</t>
        </is>
      </c>
      <c r="G62" s="8" t="inlineStr">
        <is>
          <t>dienst Ierland/EU, verlegd</t>
        </is>
      </c>
      <c r="H62" s="9" t="n">
        <v>800</v>
      </c>
      <c r="I62" s="10">
        <f>H62</f>
        <v/>
      </c>
      <c r="J62" s="10">
        <f>I62*0.21</f>
        <v/>
      </c>
    </row>
    <row r="63">
      <c r="A63" s="8" t="inlineStr">
        <is>
          <t>2026-08-16</t>
        </is>
      </c>
      <c r="B63" s="8" t="inlineStr">
        <is>
          <t>KBC</t>
        </is>
      </c>
      <c r="C63" s="8" t="inlineStr">
        <is>
          <t>SMARTPAW VOF</t>
        </is>
      </c>
      <c r="D63" s="8" t="inlineStr">
        <is>
          <t>Aflossing KBC-krediet</t>
        </is>
      </c>
      <c r="E63" s="8" t="inlineStr">
        <is>
          <t>FIN</t>
        </is>
      </c>
      <c r="F63" s="8" t="inlineStr">
        <is>
          <t>—</t>
        </is>
      </c>
      <c r="G63" s="8" t="inlineStr">
        <is>
          <t>geen aankoop</t>
        </is>
      </c>
      <c r="H63" s="9" t="n">
        <v>524.89</v>
      </c>
      <c r="I63" s="10">
        <f>H63</f>
        <v/>
      </c>
      <c r="J63" s="10" t="n">
        <v>0</v>
      </c>
    </row>
    <row r="64">
      <c r="A64" s="8" t="inlineStr">
        <is>
          <t>2026-08-16</t>
        </is>
      </c>
      <c r="B64" s="8" t="inlineStr">
        <is>
          <t>KBC</t>
        </is>
      </c>
      <c r="C64" s="8" t="inlineStr">
        <is>
          <t>SMARTPAW VOF</t>
        </is>
      </c>
      <c r="D64" s="8" t="inlineStr">
        <is>
          <t>Rente KBC-krediet</t>
        </is>
      </c>
      <c r="E64" s="8" t="inlineStr">
        <is>
          <t>GEEN</t>
        </is>
      </c>
      <c r="F64" s="8" t="inlineStr">
        <is>
          <t>82 zonder btw</t>
        </is>
      </c>
      <c r="G64" s="8" t="inlineStr">
        <is>
          <t>vrijgesteld / geen btw</t>
        </is>
      </c>
      <c r="H64" s="9" t="n">
        <v>63.98</v>
      </c>
      <c r="I64" s="10">
        <f>H64</f>
        <v/>
      </c>
      <c r="J64" s="10" t="n">
        <v>0</v>
      </c>
    </row>
    <row r="65">
      <c r="A65" s="8" t="inlineStr">
        <is>
          <t>2026-08-16</t>
        </is>
      </c>
      <c r="B65" s="8" t="inlineStr">
        <is>
          <t>KBC</t>
        </is>
      </c>
      <c r="C65" s="8" t="inlineStr">
        <is>
          <t>bpost parcel</t>
        </is>
      </c>
      <c r="D65" s="8" t="inlineStr">
        <is>
          <t>Verzending &amp; retours (overig)</t>
        </is>
      </c>
      <c r="E65" s="8" t="inlineStr">
        <is>
          <t>BE21</t>
        </is>
      </c>
      <c r="F65" s="8" t="inlineStr">
        <is>
          <t>82 (+ btw in 59)</t>
        </is>
      </c>
      <c r="G65" s="8" t="inlineStr">
        <is>
          <t>Belgische leverancier</t>
        </is>
      </c>
      <c r="H65" s="9" t="n">
        <v>5.4</v>
      </c>
      <c r="I65" s="10">
        <f>H65/1.21</f>
        <v/>
      </c>
      <c r="J65" s="10">
        <f>H65-I65</f>
        <v/>
      </c>
    </row>
    <row r="66">
      <c r="A66" s="8" t="inlineStr">
        <is>
          <t>2026-08-17</t>
        </is>
      </c>
      <c r="B66" s="8" t="inlineStr">
        <is>
          <t>KBC</t>
        </is>
      </c>
      <c r="C66" s="8" t="inlineStr">
        <is>
          <t>FACEBK *TK743YR7A2 IED04 X2K5 DUBLIN Betaling</t>
        </is>
      </c>
      <c r="D66" s="8" t="inlineStr">
        <is>
          <t>Ads Meta</t>
        </is>
      </c>
      <c r="E66" s="8" t="inlineStr">
        <is>
          <t>EU</t>
        </is>
      </c>
      <c r="F66" s="8" t="inlineStr">
        <is>
          <t>88 / 55 / 59</t>
        </is>
      </c>
      <c r="G66" s="8" t="inlineStr">
        <is>
          <t>dienst Ierland/EU, verlegd</t>
        </is>
      </c>
      <c r="H66" s="9" t="n">
        <v>800</v>
      </c>
      <c r="I66" s="10">
        <f>H66</f>
        <v/>
      </c>
      <c r="J66" s="10">
        <f>I66*0.21</f>
        <v/>
      </c>
    </row>
    <row r="67">
      <c r="A67" s="8" t="inlineStr">
        <is>
          <t>2026-08-18</t>
        </is>
      </c>
      <c r="B67" s="8" t="inlineStr">
        <is>
          <t>KBC</t>
        </is>
      </c>
      <c r="C67" s="8" t="inlineStr">
        <is>
          <t>NENUPHAR BE9051 AFSNEE Betaling met Apple Pay</t>
        </is>
      </c>
      <c r="D67" s="8" t="inlineStr">
        <is>
          <t>Representatie &amp; reizen</t>
        </is>
      </c>
      <c r="E67" s="8" t="inlineStr">
        <is>
          <t>BE21NA</t>
        </is>
      </c>
      <c r="F67" s="8" t="inlineStr">
        <is>
          <t>82 (btw niet aftrekbaar)</t>
        </is>
      </c>
      <c r="G67" s="8" t="inlineStr">
        <is>
          <t>restaurant/representatie</t>
        </is>
      </c>
      <c r="H67" s="9" t="n">
        <v>249</v>
      </c>
      <c r="I67" s="10">
        <f>H67/1.21</f>
        <v/>
      </c>
      <c r="J67" s="10">
        <f>H67-I67</f>
        <v/>
      </c>
    </row>
    <row r="68">
      <c r="A68" s="8" t="inlineStr">
        <is>
          <t>2026-08-19</t>
        </is>
      </c>
      <c r="B68" s="8" t="inlineStr">
        <is>
          <t>KBC</t>
        </is>
      </c>
      <c r="C68" s="8" t="inlineStr">
        <is>
          <t>HIGGSFIELD INC. US94105 SAN FRANCISCO Betalin</t>
        </is>
      </c>
      <c r="D68" s="8" t="inlineStr">
        <is>
          <t>Marketing &amp; content</t>
        </is>
      </c>
      <c r="E68" s="8" t="inlineStr">
        <is>
          <t>NONEU</t>
        </is>
      </c>
      <c r="F68" s="8" t="inlineStr">
        <is>
          <t>87 / 56 / 59</t>
        </is>
      </c>
      <c r="G68" s="8" t="inlineStr">
        <is>
          <t>dienst buiten EU, verlegd</t>
        </is>
      </c>
      <c r="H68" s="9" t="n">
        <v>72</v>
      </c>
      <c r="I68" s="10">
        <f>H68</f>
        <v/>
      </c>
      <c r="J68" s="10">
        <f>I68*0.21</f>
        <v/>
      </c>
    </row>
    <row r="69">
      <c r="A69" s="8" t="inlineStr">
        <is>
          <t>2026-08-19</t>
        </is>
      </c>
      <c r="B69" s="8" t="inlineStr">
        <is>
          <t>KBC</t>
        </is>
      </c>
      <c r="C69" s="8" t="inlineStr">
        <is>
          <t>Findajob bv</t>
        </is>
      </c>
      <c r="D69" s="8" t="inlineStr">
        <is>
          <t>Personeel (student)</t>
        </is>
      </c>
      <c r="E69" s="8" t="inlineStr">
        <is>
          <t>BE21</t>
        </is>
      </c>
      <c r="F69" s="8" t="inlineStr">
        <is>
          <t>82 (+ btw in 59)</t>
        </is>
      </c>
      <c r="G69" s="8" t="inlineStr">
        <is>
          <t>Belgische leverancier</t>
        </is>
      </c>
      <c r="H69" s="9" t="n">
        <v>94.72</v>
      </c>
      <c r="I69" s="10">
        <f>H69/1.21</f>
        <v/>
      </c>
      <c r="J69" s="10">
        <f>H69-I69</f>
        <v/>
      </c>
    </row>
    <row r="70">
      <c r="A70" s="8" t="inlineStr">
        <is>
          <t>2026-08-19</t>
        </is>
      </c>
      <c r="B70" s="8" t="inlineStr">
        <is>
          <t>KBC-kaart</t>
        </is>
      </c>
      <c r="C70" s="8" t="inlineStr">
        <is>
          <t>SHOPIFY* 576277386</t>
        </is>
      </c>
      <c r="D70" s="8" t="inlineStr">
        <is>
          <t>Software &amp; abonnementen</t>
        </is>
      </c>
      <c r="E70" s="8" t="inlineStr">
        <is>
          <t>EU</t>
        </is>
      </c>
      <c r="F70" s="8" t="inlineStr">
        <is>
          <t>88 / 55 / 59</t>
        </is>
      </c>
      <c r="G70" s="8" t="inlineStr">
        <is>
          <t>dienst Ierland/EU, verlegd</t>
        </is>
      </c>
      <c r="H70" s="9" t="n">
        <v>12.27</v>
      </c>
      <c r="I70" s="10">
        <f>H70</f>
        <v/>
      </c>
      <c r="J70" s="10">
        <f>I70*0.21</f>
        <v/>
      </c>
    </row>
    <row r="71">
      <c r="A71" s="8" t="inlineStr">
        <is>
          <t>2026-08-20</t>
        </is>
      </c>
      <c r="B71" s="8" t="inlineStr">
        <is>
          <t>KBC</t>
        </is>
      </c>
      <c r="C71" s="8" t="inlineStr">
        <is>
          <t>FACEBK *32NABX98A2 IED04 X2K5 Dublin Betaling</t>
        </is>
      </c>
      <c r="D71" s="8" t="inlineStr">
        <is>
          <t>Ads Meta</t>
        </is>
      </c>
      <c r="E71" s="8" t="inlineStr">
        <is>
          <t>EU</t>
        </is>
      </c>
      <c r="F71" s="8" t="inlineStr">
        <is>
          <t>88 / 55 / 59</t>
        </is>
      </c>
      <c r="G71" s="8" t="inlineStr">
        <is>
          <t>dienst Ierland/EU, verlegd</t>
        </is>
      </c>
      <c r="H71" s="9" t="n">
        <v>800</v>
      </c>
      <c r="I71" s="10">
        <f>H71</f>
        <v/>
      </c>
      <c r="J71" s="10">
        <f>I71*0.21</f>
        <v/>
      </c>
    </row>
    <row r="72">
      <c r="A72" s="8" t="inlineStr">
        <is>
          <t>2026-08-23</t>
        </is>
      </c>
      <c r="B72" s="8" t="inlineStr">
        <is>
          <t>KBC</t>
        </is>
      </c>
      <c r="C72" s="8" t="inlineStr">
        <is>
          <t>FACEBK *5F9L8Y58A2 IED04 X2K5 Dublin Betaling</t>
        </is>
      </c>
      <c r="D72" s="8" t="inlineStr">
        <is>
          <t>Ads Meta</t>
        </is>
      </c>
      <c r="E72" s="8" t="inlineStr">
        <is>
          <t>EU</t>
        </is>
      </c>
      <c r="F72" s="8" t="inlineStr">
        <is>
          <t>88 / 55 / 59</t>
        </is>
      </c>
      <c r="G72" s="8" t="inlineStr">
        <is>
          <t>dienst Ierland/EU, verlegd</t>
        </is>
      </c>
      <c r="H72" s="9" t="n">
        <v>800</v>
      </c>
      <c r="I72" s="10">
        <f>H72</f>
        <v/>
      </c>
      <c r="J72" s="10">
        <f>I72*0.21</f>
        <v/>
      </c>
    </row>
    <row r="73">
      <c r="A73" s="8" t="inlineStr">
        <is>
          <t>2026-08-25</t>
        </is>
      </c>
      <c r="B73" s="8" t="inlineStr">
        <is>
          <t>KBC</t>
        </is>
      </c>
      <c r="C73" s="8" t="inlineStr">
        <is>
          <t>Findajob bv</t>
        </is>
      </c>
      <c r="D73" s="8" t="inlineStr">
        <is>
          <t>Personeel (student)</t>
        </is>
      </c>
      <c r="E73" s="8" t="inlineStr">
        <is>
          <t>BE21</t>
        </is>
      </c>
      <c r="F73" s="8" t="inlineStr">
        <is>
          <t>82 (+ btw in 59)</t>
        </is>
      </c>
      <c r="G73" s="8" t="inlineStr">
        <is>
          <t>Belgische leverancier</t>
        </is>
      </c>
      <c r="H73" s="9" t="n">
        <v>248.35</v>
      </c>
      <c r="I73" s="10">
        <f>H73/1.21</f>
        <v/>
      </c>
      <c r="J73" s="10">
        <f>H73-I73</f>
        <v/>
      </c>
    </row>
    <row r="74">
      <c r="A74" s="8" t="inlineStr">
        <is>
          <t>2026-08-25</t>
        </is>
      </c>
      <c r="B74" s="8" t="inlineStr">
        <is>
          <t>KBC</t>
        </is>
      </c>
      <c r="C74" s="8" t="inlineStr">
        <is>
          <t>Advancemedia</t>
        </is>
      </c>
      <c r="D74" s="8" t="inlineStr">
        <is>
          <t>Marketing &amp; content</t>
        </is>
      </c>
      <c r="E74" s="8" t="inlineStr">
        <is>
          <t>EU</t>
        </is>
      </c>
      <c r="F74" s="8" t="inlineStr">
        <is>
          <t>88 / 55 / 59</t>
        </is>
      </c>
      <c r="G74" s="8" t="inlineStr">
        <is>
          <t>dienst Nederland, verlegd</t>
        </is>
      </c>
      <c r="H74" s="9" t="n">
        <v>3650</v>
      </c>
      <c r="I74" s="10">
        <f>H74</f>
        <v/>
      </c>
      <c r="J74" s="10">
        <f>I74*0.21</f>
        <v/>
      </c>
    </row>
    <row r="75">
      <c r="A75" s="8" t="inlineStr">
        <is>
          <t>2026-08-25</t>
        </is>
      </c>
      <c r="B75" s="8" t="inlineStr">
        <is>
          <t>KBC</t>
        </is>
      </c>
      <c r="C75" s="8" t="inlineStr">
        <is>
          <t>Widem Logistics NV</t>
        </is>
      </c>
      <c r="D75" s="8" t="inlineStr">
        <is>
          <t>Widem (fulfilment, vracht, invoer)</t>
        </is>
      </c>
      <c r="E75" s="8" t="inlineStr">
        <is>
          <t>BE21</t>
        </is>
      </c>
      <c r="F75" s="8" t="inlineStr">
        <is>
          <t>82 (+ btw in 59)</t>
        </is>
      </c>
      <c r="G75" s="8" t="inlineStr">
        <is>
          <t>Belgische leverancier</t>
        </is>
      </c>
      <c r="H75" s="9" t="n">
        <v>1783.71</v>
      </c>
      <c r="I75" s="10">
        <f>H75/1.21</f>
        <v/>
      </c>
      <c r="J75" s="10">
        <f>H75-I75</f>
        <v/>
      </c>
    </row>
    <row r="76">
      <c r="A76" s="8" t="inlineStr">
        <is>
          <t>2026-08-26</t>
        </is>
      </c>
      <c r="B76" s="8" t="inlineStr">
        <is>
          <t>KBC</t>
        </is>
      </c>
      <c r="C76" s="8" t="inlineStr">
        <is>
          <t>FACEBK *J93Z3Y98A2 IED04 X2K5 Dublin Betaling</t>
        </is>
      </c>
      <c r="D76" s="8" t="inlineStr">
        <is>
          <t>Ads Meta</t>
        </is>
      </c>
      <c r="E76" s="8" t="inlineStr">
        <is>
          <t>EU</t>
        </is>
      </c>
      <c r="F76" s="8" t="inlineStr">
        <is>
          <t>88 / 55 / 59</t>
        </is>
      </c>
      <c r="G76" s="8" t="inlineStr">
        <is>
          <t>dienst Ierland/EU, verlegd</t>
        </is>
      </c>
      <c r="H76" s="9" t="n">
        <v>800</v>
      </c>
      <c r="I76" s="10">
        <f>H76</f>
        <v/>
      </c>
      <c r="J76" s="10">
        <f>I76*0.21</f>
        <v/>
      </c>
    </row>
    <row r="77">
      <c r="A77" s="8" t="inlineStr">
        <is>
          <t>2026-08-26</t>
        </is>
      </c>
      <c r="B77" s="8" t="inlineStr">
        <is>
          <t>KBC</t>
        </is>
      </c>
      <c r="C77" s="8" t="inlineStr">
        <is>
          <t>KBC Verzekeringen</t>
        </is>
      </c>
      <c r="D77" s="8" t="inlineStr">
        <is>
          <t>Verzekering</t>
        </is>
      </c>
      <c r="E77" s="8" t="inlineStr">
        <is>
          <t>GEEN</t>
        </is>
      </c>
      <c r="F77" s="8" t="inlineStr">
        <is>
          <t>82 zonder btw</t>
        </is>
      </c>
      <c r="G77" s="8" t="inlineStr">
        <is>
          <t>vrijgesteld / geen btw</t>
        </is>
      </c>
      <c r="H77" s="9" t="n">
        <v>18.47</v>
      </c>
      <c r="I77" s="10">
        <f>H77</f>
        <v/>
      </c>
      <c r="J77" s="10" t="n">
        <v>0</v>
      </c>
    </row>
    <row r="78">
      <c r="A78" s="8" t="inlineStr">
        <is>
          <t>2026-08-30</t>
        </is>
      </c>
      <c r="B78" s="8" t="inlineStr">
        <is>
          <t>KBC</t>
        </is>
      </c>
      <c r="C78" s="8" t="inlineStr">
        <is>
          <t>FACEBK *QHUESYM7A2 IED04 X2K5 Dublin Betaling</t>
        </is>
      </c>
      <c r="D78" s="8" t="inlineStr">
        <is>
          <t>Ads Meta</t>
        </is>
      </c>
      <c r="E78" s="8" t="inlineStr">
        <is>
          <t>EU</t>
        </is>
      </c>
      <c r="F78" s="8" t="inlineStr">
        <is>
          <t>88 / 55 / 59</t>
        </is>
      </c>
      <c r="G78" s="8" t="inlineStr">
        <is>
          <t>dienst Ierland/EU, verlegd</t>
        </is>
      </c>
      <c r="H78" s="9" t="n">
        <v>800</v>
      </c>
      <c r="I78" s="10">
        <f>H78</f>
        <v/>
      </c>
      <c r="J78" s="10">
        <f>I78*0.21</f>
        <v/>
      </c>
    </row>
    <row r="79">
      <c r="A79" s="8" t="inlineStr">
        <is>
          <t>2026-09-01</t>
        </is>
      </c>
      <c r="B79" s="8" t="inlineStr">
        <is>
          <t>KBC</t>
        </is>
      </c>
      <c r="C79" s="8" t="inlineStr">
        <is>
          <t>GOOGLE*WORKSPACE SMART IED02 R296 CC GOOGLE.C</t>
        </is>
      </c>
      <c r="D79" s="8" t="inlineStr">
        <is>
          <t>Software &amp; abonnementen</t>
        </is>
      </c>
      <c r="E79" s="8" t="inlineStr">
        <is>
          <t>EU</t>
        </is>
      </c>
      <c r="F79" s="8" t="inlineStr">
        <is>
          <t>88 / 55 / 59</t>
        </is>
      </c>
      <c r="G79" s="8" t="inlineStr">
        <is>
          <t>dienst Ierland/EU, verlegd</t>
        </is>
      </c>
      <c r="H79" s="9" t="n">
        <v>75.90000000000001</v>
      </c>
      <c r="I79" s="10">
        <f>H79</f>
        <v/>
      </c>
      <c r="J79" s="10">
        <f>I79*0.21</f>
        <v/>
      </c>
    </row>
    <row r="80">
      <c r="A80" s="8" t="inlineStr">
        <is>
          <t>2026-09-01</t>
        </is>
      </c>
      <c r="B80" s="8" t="inlineStr">
        <is>
          <t>KBC</t>
        </is>
      </c>
      <c r="C80" s="8" t="inlineStr">
        <is>
          <t>Yuki Works NV via Mollie</t>
        </is>
      </c>
      <c r="D80" s="8" t="inlineStr">
        <is>
          <t>Software &amp; abonnementen</t>
        </is>
      </c>
      <c r="E80" s="8" t="inlineStr">
        <is>
          <t>BE21</t>
        </is>
      </c>
      <c r="F80" s="8" t="inlineStr">
        <is>
          <t>82 (+ btw in 59)</t>
        </is>
      </c>
      <c r="G80" s="8" t="inlineStr">
        <is>
          <t>Belgische leverancier</t>
        </is>
      </c>
      <c r="H80" s="9" t="n">
        <v>2.42</v>
      </c>
      <c r="I80" s="10">
        <f>H80/1.21</f>
        <v/>
      </c>
      <c r="J80" s="10">
        <f>H80-I80</f>
        <v/>
      </c>
    </row>
    <row r="81">
      <c r="A81" s="8" t="inlineStr">
        <is>
          <t>2026-09-01</t>
        </is>
      </c>
      <c r="B81" s="8" t="inlineStr">
        <is>
          <t>KBC-kaart</t>
        </is>
      </c>
      <c r="C81" s="8" t="inlineStr">
        <is>
          <t>METAPAY*MV4B</t>
        </is>
      </c>
      <c r="D81" s="8" t="inlineStr">
        <is>
          <t>Ads Meta</t>
        </is>
      </c>
      <c r="E81" s="8" t="inlineStr">
        <is>
          <t>EU</t>
        </is>
      </c>
      <c r="F81" s="8" t="inlineStr">
        <is>
          <t>88 / 55 / 59</t>
        </is>
      </c>
      <c r="G81" s="8" t="inlineStr">
        <is>
          <t>dienst Ierland/EU, verlegd</t>
        </is>
      </c>
      <c r="H81" s="9" t="n">
        <v>22.29</v>
      </c>
      <c r="I81" s="10">
        <f>H81</f>
        <v/>
      </c>
      <c r="J81" s="10">
        <f>I81*0.21</f>
        <v/>
      </c>
    </row>
    <row r="82">
      <c r="A82" s="8" t="inlineStr">
        <is>
          <t>2026-09-02</t>
        </is>
      </c>
      <c r="B82" s="8" t="inlineStr">
        <is>
          <t>Revolut</t>
        </is>
      </c>
      <c r="C82" s="8" t="inlineStr">
        <is>
          <t>Second part order Furvac 750 pcs</t>
        </is>
      </c>
      <c r="D82" s="8" t="inlineStr">
        <is>
          <t>Voorraad (fabriek)</t>
        </is>
      </c>
      <c r="E82" s="8" t="inlineStr">
        <is>
          <t>INVOER</t>
        </is>
      </c>
      <c r="F82" s="8" t="inlineStr">
        <is>
          <t>invoeraangifte (Widem)</t>
        </is>
      </c>
      <c r="G82" s="8" t="inlineStr">
        <is>
          <t>goederen China; btw via invoer (Widem)</t>
        </is>
      </c>
      <c r="H82" s="9" t="n">
        <v>8637.91</v>
      </c>
      <c r="I82" s="10">
        <f>H82</f>
        <v/>
      </c>
      <c r="J82" s="10" t="n">
        <v>0</v>
      </c>
    </row>
    <row r="83">
      <c r="A83" s="8" t="inlineStr">
        <is>
          <t>2026-09-03</t>
        </is>
      </c>
      <c r="B83" s="8" t="inlineStr">
        <is>
          <t>KBC</t>
        </is>
      </c>
      <c r="C83" s="8" t="inlineStr">
        <is>
          <t>FACEBK *7RKG93W7A4 IED04 X2K5 Dublin Betaling</t>
        </is>
      </c>
      <c r="D83" s="8" t="inlineStr">
        <is>
          <t>Ads Meta</t>
        </is>
      </c>
      <c r="E83" s="8" t="inlineStr">
        <is>
          <t>EU</t>
        </is>
      </c>
      <c r="F83" s="8" t="inlineStr">
        <is>
          <t>88 / 55 / 59</t>
        </is>
      </c>
      <c r="G83" s="8" t="inlineStr">
        <is>
          <t>dienst Ierland/EU, verlegd</t>
        </is>
      </c>
      <c r="H83" s="9" t="n">
        <v>800</v>
      </c>
      <c r="I83" s="10">
        <f>H83</f>
        <v/>
      </c>
      <c r="J83" s="10">
        <f>I83*0.21</f>
        <v/>
      </c>
    </row>
    <row r="84">
      <c r="A84" s="8" t="inlineStr">
        <is>
          <t>2026-09-06</t>
        </is>
      </c>
      <c r="B84" s="8" t="inlineStr">
        <is>
          <t>KBC</t>
        </is>
      </c>
      <c r="C84" s="8" t="inlineStr">
        <is>
          <t>FACEBK *45UMKZM8A2 IED04 X2K5 Dublin Betaling</t>
        </is>
      </c>
      <c r="D84" s="8" t="inlineStr">
        <is>
          <t>Ads Meta</t>
        </is>
      </c>
      <c r="E84" s="8" t="inlineStr">
        <is>
          <t>EU</t>
        </is>
      </c>
      <c r="F84" s="8" t="inlineStr">
        <is>
          <t>88 / 55 / 59</t>
        </is>
      </c>
      <c r="G84" s="8" t="inlineStr">
        <is>
          <t>dienst Ierland/EU, verlegd</t>
        </is>
      </c>
      <c r="H84" s="9" t="n">
        <v>800</v>
      </c>
      <c r="I84" s="10">
        <f>H84</f>
        <v/>
      </c>
      <c r="J84" s="10">
        <f>I84*0.21</f>
        <v/>
      </c>
    </row>
    <row r="85">
      <c r="A85" s="8" t="inlineStr">
        <is>
          <t>2026-09-08</t>
        </is>
      </c>
      <c r="B85" s="8" t="inlineStr">
        <is>
          <t>Revolut</t>
        </is>
      </c>
      <c r="C85" s="8" t="inlineStr">
        <is>
          <t>Company Pro plan fee</t>
        </is>
      </c>
      <c r="D85" s="8" t="inlineStr">
        <is>
          <t>Software &amp; abonnementen</t>
        </is>
      </c>
      <c r="E85" s="8" t="inlineStr">
        <is>
          <t>GEEN</t>
        </is>
      </c>
      <c r="F85" s="8" t="inlineStr">
        <is>
          <t>82 zonder btw</t>
        </is>
      </c>
      <c r="G85" s="8" t="inlineStr">
        <is>
          <t>vrijgesteld / geen btw</t>
        </is>
      </c>
      <c r="H85" s="9" t="n">
        <v>35</v>
      </c>
      <c r="I85" s="10">
        <f>H85</f>
        <v/>
      </c>
      <c r="J85" s="10" t="n">
        <v>0</v>
      </c>
    </row>
    <row r="86">
      <c r="A86" s="8" t="inlineStr">
        <is>
          <t>2026-09-08</t>
        </is>
      </c>
      <c r="B86" s="8" t="inlineStr">
        <is>
          <t>KBC</t>
        </is>
      </c>
      <c r="C86" s="8" t="inlineStr">
        <is>
          <t>Widem Logistics NV</t>
        </is>
      </c>
      <c r="D86" s="8" t="inlineStr">
        <is>
          <t>Widem (fulfilment, vracht, invoer)</t>
        </is>
      </c>
      <c r="E86" s="8" t="inlineStr">
        <is>
          <t>BE21</t>
        </is>
      </c>
      <c r="F86" s="8" t="inlineStr">
        <is>
          <t>82 (+ btw in 59)</t>
        </is>
      </c>
      <c r="G86" s="8" t="inlineStr">
        <is>
          <t>Belgische leverancier</t>
        </is>
      </c>
      <c r="H86" s="9" t="n">
        <v>110.77</v>
      </c>
      <c r="I86" s="10">
        <f>H86/1.21</f>
        <v/>
      </c>
      <c r="J86" s="10">
        <f>H86-I86</f>
        <v/>
      </c>
    </row>
    <row r="87">
      <c r="A87" s="8" t="inlineStr">
        <is>
          <t>2026-09-08</t>
        </is>
      </c>
      <c r="B87" s="8" t="inlineStr">
        <is>
          <t>KBC</t>
        </is>
      </c>
      <c r="C87" s="8" t="inlineStr">
        <is>
          <t>WIDEM LOGISTICS NV</t>
        </is>
      </c>
      <c r="D87" s="8" t="inlineStr">
        <is>
          <t>Widem (fulfilment, vracht, invoer)</t>
        </is>
      </c>
      <c r="E87" s="8" t="inlineStr">
        <is>
          <t>BE21</t>
        </is>
      </c>
      <c r="F87" s="8" t="inlineStr">
        <is>
          <t>82 (+ btw in 59)</t>
        </is>
      </c>
      <c r="G87" s="8" t="inlineStr">
        <is>
          <t>Belgische leverancier</t>
        </is>
      </c>
      <c r="H87" s="9" t="n">
        <v>2361.28</v>
      </c>
      <c r="I87" s="10">
        <f>H87/1.21</f>
        <v/>
      </c>
      <c r="J87" s="10">
        <f>H87-I87</f>
        <v/>
      </c>
    </row>
    <row r="88">
      <c r="A88" s="8" t="inlineStr">
        <is>
          <t>2026-09-08</t>
        </is>
      </c>
      <c r="B88" s="8" t="inlineStr">
        <is>
          <t>KBC</t>
        </is>
      </c>
      <c r="C88" s="8" t="inlineStr">
        <is>
          <t>Findajob bv</t>
        </is>
      </c>
      <c r="D88" s="8" t="inlineStr">
        <is>
          <t>Personeel (student)</t>
        </is>
      </c>
      <c r="E88" s="8" t="inlineStr">
        <is>
          <t>BE21</t>
        </is>
      </c>
      <c r="F88" s="8" t="inlineStr">
        <is>
          <t>82 (+ btw in 59)</t>
        </is>
      </c>
      <c r="G88" s="8" t="inlineStr">
        <is>
          <t>Belgische leverancier</t>
        </is>
      </c>
      <c r="H88" s="9" t="n">
        <v>472.21</v>
      </c>
      <c r="I88" s="10">
        <f>H88/1.21</f>
        <v/>
      </c>
      <c r="J88" s="10">
        <f>H88-I88</f>
        <v/>
      </c>
    </row>
    <row r="89">
      <c r="A89" s="8" t="inlineStr">
        <is>
          <t>2026-09-08</t>
        </is>
      </c>
      <c r="B89" s="8" t="inlineStr">
        <is>
          <t>KBC</t>
        </is>
      </c>
      <c r="C89" s="8" t="inlineStr">
        <is>
          <t>Widem Logistics NV</t>
        </is>
      </c>
      <c r="D89" s="8" t="inlineStr">
        <is>
          <t>Widem (fulfilment, vracht, invoer)</t>
        </is>
      </c>
      <c r="E89" s="8" t="inlineStr">
        <is>
          <t>BE21</t>
        </is>
      </c>
      <c r="F89" s="8" t="inlineStr">
        <is>
          <t>82 (+ btw in 59)</t>
        </is>
      </c>
      <c r="G89" s="8" t="inlineStr">
        <is>
          <t>Belgische leverancier</t>
        </is>
      </c>
      <c r="H89" s="9" t="n">
        <v>3135</v>
      </c>
      <c r="I89" s="10">
        <f>H89/1.21</f>
        <v/>
      </c>
      <c r="J89" s="10">
        <f>H89-I89</f>
        <v/>
      </c>
    </row>
    <row r="90">
      <c r="A90" s="8" t="inlineStr">
        <is>
          <t>2026-09-08</t>
        </is>
      </c>
      <c r="B90" s="8" t="inlineStr">
        <is>
          <t>KBC</t>
        </is>
      </c>
      <c r="C90" s="8" t="inlineStr">
        <is>
          <t>Widem Logistics NV</t>
        </is>
      </c>
      <c r="D90" s="8" t="inlineStr">
        <is>
          <t>Widem (fulfilment, vracht, invoer)</t>
        </is>
      </c>
      <c r="E90" s="8" t="inlineStr">
        <is>
          <t>BE21</t>
        </is>
      </c>
      <c r="F90" s="8" t="inlineStr">
        <is>
          <t>82 (+ btw in 59)</t>
        </is>
      </c>
      <c r="G90" s="8" t="inlineStr">
        <is>
          <t>Belgische leverancier</t>
        </is>
      </c>
      <c r="H90" s="9" t="n">
        <v>261.03</v>
      </c>
      <c r="I90" s="10">
        <f>H90/1.21</f>
        <v/>
      </c>
      <c r="J90" s="10">
        <f>H90-I90</f>
        <v/>
      </c>
    </row>
    <row r="91">
      <c r="A91" s="8" t="inlineStr">
        <is>
          <t>2026-09-08</t>
        </is>
      </c>
      <c r="B91" s="8" t="inlineStr">
        <is>
          <t>KBC</t>
        </is>
      </c>
      <c r="C91" s="8" t="inlineStr">
        <is>
          <t>Widem Logistics NV</t>
        </is>
      </c>
      <c r="D91" s="8" t="inlineStr">
        <is>
          <t>Widem (fulfilment, vracht, invoer)</t>
        </is>
      </c>
      <c r="E91" s="8" t="inlineStr">
        <is>
          <t>BE21</t>
        </is>
      </c>
      <c r="F91" s="8" t="inlineStr">
        <is>
          <t>82 (+ btw in 59)</t>
        </is>
      </c>
      <c r="G91" s="8" t="inlineStr">
        <is>
          <t>Belgische leverancier</t>
        </is>
      </c>
      <c r="H91" s="9" t="n">
        <v>364.57</v>
      </c>
      <c r="I91" s="10">
        <f>H91/1.21</f>
        <v/>
      </c>
      <c r="J91" s="10">
        <f>H91-I91</f>
        <v/>
      </c>
    </row>
    <row r="92">
      <c r="A92" s="8" t="inlineStr">
        <is>
          <t>2026-09-08</t>
        </is>
      </c>
      <c r="B92" s="8" t="inlineStr">
        <is>
          <t>KBC</t>
        </is>
      </c>
      <c r="C92" s="8" t="inlineStr">
        <is>
          <t>FACEBK *L3G8L3A8A4 IED04 X2K5 Dublin Betaling</t>
        </is>
      </c>
      <c r="D92" s="8" t="inlineStr">
        <is>
          <t>Ads Meta</t>
        </is>
      </c>
      <c r="E92" s="8" t="inlineStr">
        <is>
          <t>EU</t>
        </is>
      </c>
      <c r="F92" s="8" t="inlineStr">
        <is>
          <t>88 / 55 / 59</t>
        </is>
      </c>
      <c r="G92" s="8" t="inlineStr">
        <is>
          <t>dienst Ierland/EU, verlegd</t>
        </is>
      </c>
      <c r="H92" s="9" t="n">
        <v>555.08</v>
      </c>
      <c r="I92" s="10">
        <f>H92</f>
        <v/>
      </c>
      <c r="J92" s="10">
        <f>I92*0.21</f>
        <v/>
      </c>
    </row>
    <row r="93">
      <c r="A93" s="8" t="inlineStr">
        <is>
          <t>2026-09-08</t>
        </is>
      </c>
      <c r="B93" s="8" t="inlineStr">
        <is>
          <t>KBC-kaart</t>
        </is>
      </c>
      <c r="C93" s="8" t="inlineStr">
        <is>
          <t>HOLO AI</t>
        </is>
      </c>
      <c r="D93" s="8" t="inlineStr">
        <is>
          <t>Marketing &amp; content</t>
        </is>
      </c>
      <c r="E93" s="8" t="inlineStr">
        <is>
          <t>EU</t>
        </is>
      </c>
      <c r="F93" s="8" t="inlineStr">
        <is>
          <t>88 / 55 / 59</t>
        </is>
      </c>
      <c r="G93" s="8" t="inlineStr">
        <is>
          <t>dienst Ierland/EU, verlegd</t>
        </is>
      </c>
      <c r="H93" s="9" t="n">
        <v>41.33</v>
      </c>
      <c r="I93" s="10">
        <f>H93</f>
        <v/>
      </c>
      <c r="J93" s="10">
        <f>I93*0.21</f>
        <v/>
      </c>
    </row>
    <row r="94">
      <c r="A94" s="8" t="inlineStr">
        <is>
          <t>2026-09-09</t>
        </is>
      </c>
      <c r="B94" s="8" t="inlineStr">
        <is>
          <t>KBC-kaart</t>
        </is>
      </c>
      <c r="C94" s="8" t="inlineStr">
        <is>
          <t>SHOPIFY* 586058249</t>
        </is>
      </c>
      <c r="D94" s="8" t="inlineStr">
        <is>
          <t>Software &amp; abonnementen</t>
        </is>
      </c>
      <c r="E94" s="8" t="inlineStr">
        <is>
          <t>EU</t>
        </is>
      </c>
      <c r="F94" s="8" t="inlineStr">
        <is>
          <t>88 / 55 / 59</t>
        </is>
      </c>
      <c r="G94" s="8" t="inlineStr">
        <is>
          <t>dienst Ierland/EU, verlegd</t>
        </is>
      </c>
      <c r="H94" s="9" t="n">
        <v>136.02</v>
      </c>
      <c r="I94" s="10">
        <f>H94</f>
        <v/>
      </c>
      <c r="J94" s="10">
        <f>I94*0.21</f>
        <v/>
      </c>
    </row>
    <row r="95">
      <c r="A95" s="8" t="inlineStr">
        <is>
          <t>2026-09-10</t>
        </is>
      </c>
      <c r="B95" s="8" t="inlineStr">
        <is>
          <t>KBC</t>
        </is>
      </c>
      <c r="C95" s="8" t="inlineStr">
        <is>
          <t>FACEBK *FZ5UX3A8A4 IED04 X2K5 DUBLIN Betaling</t>
        </is>
      </c>
      <c r="D95" s="8" t="inlineStr">
        <is>
          <t>Ads Meta</t>
        </is>
      </c>
      <c r="E95" s="8" t="inlineStr">
        <is>
          <t>EU</t>
        </is>
      </c>
      <c r="F95" s="8" t="inlineStr">
        <is>
          <t>88 / 55 / 59</t>
        </is>
      </c>
      <c r="G95" s="8" t="inlineStr">
        <is>
          <t>dienst Ierland/EU, verlegd</t>
        </is>
      </c>
      <c r="H95" s="9" t="n">
        <v>800</v>
      </c>
      <c r="I95" s="10">
        <f>H95</f>
        <v/>
      </c>
      <c r="J95" s="10">
        <f>I95*0.21</f>
        <v/>
      </c>
    </row>
    <row r="96">
      <c r="A96" s="8" t="inlineStr">
        <is>
          <t>2026-09-10</t>
        </is>
      </c>
      <c r="B96" s="8" t="inlineStr">
        <is>
          <t>KBC-kaart</t>
        </is>
      </c>
      <c r="C96" s="8" t="inlineStr">
        <is>
          <t>KLAVIYO INC. SOFTWARE</t>
        </is>
      </c>
      <c r="D96" s="8" t="inlineStr">
        <is>
          <t>Software &amp; abonnementen</t>
        </is>
      </c>
      <c r="E96" s="8" t="inlineStr">
        <is>
          <t>NONEU</t>
        </is>
      </c>
      <c r="F96" s="8" t="inlineStr">
        <is>
          <t>87 / 56 / 59</t>
        </is>
      </c>
      <c r="G96" s="8" t="inlineStr">
        <is>
          <t>dienst buiten EU, verlegd</t>
        </is>
      </c>
      <c r="H96" s="9" t="n">
        <v>61.21</v>
      </c>
      <c r="I96" s="10">
        <f>H96</f>
        <v/>
      </c>
      <c r="J96" s="10">
        <f>I96*0.21</f>
        <v/>
      </c>
    </row>
    <row r="97">
      <c r="A97" s="8" t="inlineStr">
        <is>
          <t>2026-09-13</t>
        </is>
      </c>
      <c r="B97" s="8" t="inlineStr">
        <is>
          <t>KBC</t>
        </is>
      </c>
      <c r="C97" s="8" t="inlineStr">
        <is>
          <t>Haddok BE9000 Gent, Belg Betaling met KBC-Deb</t>
        </is>
      </c>
      <c r="D97" s="8" t="inlineStr">
        <is>
          <t>Representatie &amp; reizen</t>
        </is>
      </c>
      <c r="E97" s="8" t="inlineStr">
        <is>
          <t>BE21NA</t>
        </is>
      </c>
      <c r="F97" s="8" t="inlineStr">
        <is>
          <t>82 (btw niet aftrekbaar)</t>
        </is>
      </c>
      <c r="G97" s="8" t="inlineStr">
        <is>
          <t>restaurant/representatie</t>
        </is>
      </c>
      <c r="H97" s="9" t="n">
        <v>121.5</v>
      </c>
      <c r="I97" s="10">
        <f>H97/1.21</f>
        <v/>
      </c>
      <c r="J97" s="10">
        <f>H97-I97</f>
        <v/>
      </c>
    </row>
    <row r="98">
      <c r="A98" s="8" t="inlineStr">
        <is>
          <t>2026-09-14</t>
        </is>
      </c>
      <c r="B98" s="8" t="inlineStr">
        <is>
          <t>KBC</t>
        </is>
      </c>
      <c r="C98" s="8" t="inlineStr">
        <is>
          <t>FACEBK *EY2TK3N7A4 IED04 X2K5 DUBLIN Betaling</t>
        </is>
      </c>
      <c r="D98" s="8" t="inlineStr">
        <is>
          <t>Ads Meta</t>
        </is>
      </c>
      <c r="E98" s="8" t="inlineStr">
        <is>
          <t>EU</t>
        </is>
      </c>
      <c r="F98" s="8" t="inlineStr">
        <is>
          <t>88 / 55 / 59</t>
        </is>
      </c>
      <c r="G98" s="8" t="inlineStr">
        <is>
          <t>dienst Ierland/EU, verlegd</t>
        </is>
      </c>
      <c r="H98" s="9" t="n">
        <v>800</v>
      </c>
      <c r="I98" s="10">
        <f>H98</f>
        <v/>
      </c>
      <c r="J98" s="10">
        <f>I98*0.21</f>
        <v/>
      </c>
    </row>
    <row r="99">
      <c r="A99" s="8" t="inlineStr">
        <is>
          <t>2026-09-15</t>
        </is>
      </c>
      <c r="B99" s="8" t="inlineStr">
        <is>
          <t>KBC</t>
        </is>
      </c>
      <c r="C99" s="8" t="inlineStr">
        <is>
          <t>SMARTPAW VOF</t>
        </is>
      </c>
      <c r="D99" s="8" t="inlineStr">
        <is>
          <t>Aflossing KBC-krediet</t>
        </is>
      </c>
      <c r="E99" s="8" t="inlineStr">
        <is>
          <t>FIN</t>
        </is>
      </c>
      <c r="F99" s="8" t="inlineStr">
        <is>
          <t>—</t>
        </is>
      </c>
      <c r="G99" s="8" t="inlineStr">
        <is>
          <t>geen aankoop</t>
        </is>
      </c>
      <c r="H99" s="9" t="n">
        <v>526.67</v>
      </c>
      <c r="I99" s="10">
        <f>H99</f>
        <v/>
      </c>
      <c r="J99" s="10" t="n">
        <v>0</v>
      </c>
    </row>
    <row r="100">
      <c r="A100" s="8" t="inlineStr">
        <is>
          <t>2026-09-15</t>
        </is>
      </c>
      <c r="B100" s="8" t="inlineStr">
        <is>
          <t>KBC</t>
        </is>
      </c>
      <c r="C100" s="8" t="inlineStr">
        <is>
          <t>SMARTPAW VOF</t>
        </is>
      </c>
      <c r="D100" s="8" t="inlineStr">
        <is>
          <t>Rente KBC-krediet</t>
        </is>
      </c>
      <c r="E100" s="8" t="inlineStr">
        <is>
          <t>GEEN</t>
        </is>
      </c>
      <c r="F100" s="8" t="inlineStr">
        <is>
          <t>82 zonder btw</t>
        </is>
      </c>
      <c r="G100" s="8" t="inlineStr">
        <is>
          <t>vrijgesteld / geen btw</t>
        </is>
      </c>
      <c r="H100" s="9" t="n">
        <v>62.2</v>
      </c>
      <c r="I100" s="10">
        <f>H100</f>
        <v/>
      </c>
      <c r="J100" s="10" t="n">
        <v>0</v>
      </c>
    </row>
    <row r="101">
      <c r="A101" s="8" t="inlineStr">
        <is>
          <t>2026-09-17</t>
        </is>
      </c>
      <c r="B101" s="8" t="inlineStr">
        <is>
          <t>KBC</t>
        </is>
      </c>
      <c r="C101" s="8" t="inlineStr">
        <is>
          <t>FACEBK *52WHD3S7A4 IED04 X2K5 DUBLIN Betaling</t>
        </is>
      </c>
      <c r="D101" s="8" t="inlineStr">
        <is>
          <t>Ads Meta</t>
        </is>
      </c>
      <c r="E101" s="8" t="inlineStr">
        <is>
          <t>EU</t>
        </is>
      </c>
      <c r="F101" s="8" t="inlineStr">
        <is>
          <t>88 / 55 / 59</t>
        </is>
      </c>
      <c r="G101" s="8" t="inlineStr">
        <is>
          <t>dienst Ierland/EU, verlegd</t>
        </is>
      </c>
      <c r="H101" s="9" t="n">
        <v>800</v>
      </c>
      <c r="I101" s="10">
        <f>H101</f>
        <v/>
      </c>
      <c r="J101" s="10">
        <f>I101*0.21</f>
        <v/>
      </c>
    </row>
    <row r="102">
      <c r="A102" s="8" t="inlineStr">
        <is>
          <t>2026-09-20</t>
        </is>
      </c>
      <c r="B102" s="8" t="inlineStr">
        <is>
          <t>KBC</t>
        </is>
      </c>
      <c r="C102" s="8" t="inlineStr">
        <is>
          <t>PAY*PATRON BE9000 GENT Betaling met Apple Pay</t>
        </is>
      </c>
      <c r="D102" s="8" t="inlineStr">
        <is>
          <t>Representatie &amp; reizen</t>
        </is>
      </c>
      <c r="E102" s="8" t="inlineStr">
        <is>
          <t>BE21NA</t>
        </is>
      </c>
      <c r="F102" s="8" t="inlineStr">
        <is>
          <t>82 (btw niet aftrekbaar)</t>
        </is>
      </c>
      <c r="G102" s="8" t="inlineStr">
        <is>
          <t>restaurant/representatie</t>
        </is>
      </c>
      <c r="H102" s="9" t="n">
        <v>8.1</v>
      </c>
      <c r="I102" s="10">
        <f>H102/1.21</f>
        <v/>
      </c>
      <c r="J102" s="10">
        <f>H102-I102</f>
        <v/>
      </c>
    </row>
    <row r="103">
      <c r="A103" s="8" t="inlineStr">
        <is>
          <t>2026-09-20</t>
        </is>
      </c>
      <c r="B103" s="8" t="inlineStr">
        <is>
          <t>KBC</t>
        </is>
      </c>
      <c r="C103" s="8" t="inlineStr">
        <is>
          <t xml:space="preserve">POM-OostV Bedrijven BE9000 Gent Betaling met </t>
        </is>
      </c>
      <c r="D103" s="8" t="inlineStr">
        <is>
          <t>Administratie &amp; lidmaatschappen</t>
        </is>
      </c>
      <c r="E103" s="8" t="inlineStr">
        <is>
          <t>NAKIJKEN</t>
        </is>
      </c>
      <c r="F103" s="8" t="inlineStr">
        <is>
          <t>?</t>
        </is>
      </c>
      <c r="G103" s="8" t="inlineStr">
        <is>
          <t>lidmaatschap/standgeld: btw?</t>
        </is>
      </c>
      <c r="H103" s="9" t="n">
        <v>148</v>
      </c>
      <c r="I103" s="10">
        <f>H103</f>
        <v/>
      </c>
      <c r="J103" s="10" t="n">
        <v>0</v>
      </c>
    </row>
    <row r="104">
      <c r="A104" s="8" t="inlineStr">
        <is>
          <t>2026-09-20</t>
        </is>
      </c>
      <c r="B104" s="8" t="inlineStr">
        <is>
          <t>KBC</t>
        </is>
      </c>
      <c r="C104" s="8" t="inlineStr">
        <is>
          <t>HIGGSFIELD INC. US94105 SAN FRANCISCO Betalin</t>
        </is>
      </c>
      <c r="D104" s="8" t="inlineStr">
        <is>
          <t>Marketing &amp; content</t>
        </is>
      </c>
      <c r="E104" s="8" t="inlineStr">
        <is>
          <t>NONEU</t>
        </is>
      </c>
      <c r="F104" s="8" t="inlineStr">
        <is>
          <t>87 / 56 / 59</t>
        </is>
      </c>
      <c r="G104" s="8" t="inlineStr">
        <is>
          <t>dienst buiten EU, verlegd</t>
        </is>
      </c>
      <c r="H104" s="9" t="n">
        <v>72</v>
      </c>
      <c r="I104" s="10">
        <f>H104</f>
        <v/>
      </c>
      <c r="J104" s="10">
        <f>I104*0.21</f>
        <v/>
      </c>
    </row>
    <row r="105">
      <c r="A105" s="8" t="inlineStr">
        <is>
          <t>2026-09-20</t>
        </is>
      </c>
      <c r="B105" s="8" t="inlineStr">
        <is>
          <t>KBC</t>
        </is>
      </c>
      <c r="C105" s="8" t="inlineStr">
        <is>
          <t>FACEBK *VRFKQ5W7A4 IED04 X2K5 DUBLIN Betaling</t>
        </is>
      </c>
      <c r="D105" s="8" t="inlineStr">
        <is>
          <t>Ads Meta</t>
        </is>
      </c>
      <c r="E105" s="8" t="inlineStr">
        <is>
          <t>EU</t>
        </is>
      </c>
      <c r="F105" s="8" t="inlineStr">
        <is>
          <t>88 / 55 / 59</t>
        </is>
      </c>
      <c r="G105" s="8" t="inlineStr">
        <is>
          <t>dienst Ierland/EU, verlegd</t>
        </is>
      </c>
      <c r="H105" s="9" t="n">
        <v>800</v>
      </c>
      <c r="I105" s="10">
        <f>H105</f>
        <v/>
      </c>
      <c r="J105" s="10">
        <f>I105*0.21</f>
        <v/>
      </c>
    </row>
    <row r="106">
      <c r="A106" s="8" t="inlineStr">
        <is>
          <t>2026-09-24</t>
        </is>
      </c>
      <c r="B106" s="8" t="inlineStr">
        <is>
          <t>KBC</t>
        </is>
      </c>
      <c r="C106" s="8" t="inlineStr">
        <is>
          <t>FACEBK *QFMU25N7A4 IED04 X2K5 DUBLIN Betaling</t>
        </is>
      </c>
      <c r="D106" s="8" t="inlineStr">
        <is>
          <t>Ads Meta</t>
        </is>
      </c>
      <c r="E106" s="8" t="inlineStr">
        <is>
          <t>EU</t>
        </is>
      </c>
      <c r="F106" s="8" t="inlineStr">
        <is>
          <t>88 / 55 / 59</t>
        </is>
      </c>
      <c r="G106" s="8" t="inlineStr">
        <is>
          <t>dienst Ierland/EU, verlegd</t>
        </is>
      </c>
      <c r="H106" s="9" t="n">
        <v>800</v>
      </c>
      <c r="I106" s="10">
        <f>H106</f>
        <v/>
      </c>
      <c r="J106" s="10">
        <f>I106*0.21</f>
        <v/>
      </c>
    </row>
    <row r="107">
      <c r="A107" s="8" t="inlineStr">
        <is>
          <t>2026-09-27</t>
        </is>
      </c>
      <c r="B107" s="8" t="inlineStr">
        <is>
          <t>KBC</t>
        </is>
      </c>
      <c r="C107" s="8" t="inlineStr">
        <is>
          <t>FACEBK *ZDGTF5N7A4 IED04 X2K5 DUBLIN Betaling</t>
        </is>
      </c>
      <c r="D107" s="8" t="inlineStr">
        <is>
          <t>Ads Meta</t>
        </is>
      </c>
      <c r="E107" s="8" t="inlineStr">
        <is>
          <t>EU</t>
        </is>
      </c>
      <c r="F107" s="8" t="inlineStr">
        <is>
          <t>88 / 55 / 59</t>
        </is>
      </c>
      <c r="G107" s="8" t="inlineStr">
        <is>
          <t>dienst Ierland/EU, verlegd</t>
        </is>
      </c>
      <c r="H107" s="9" t="n">
        <v>800</v>
      </c>
      <c r="I107" s="10">
        <f>H107</f>
        <v/>
      </c>
      <c r="J107" s="10">
        <f>I107*0.21</f>
        <v/>
      </c>
    </row>
    <row r="108">
      <c r="A108" s="8" t="inlineStr">
        <is>
          <t>2026-09-27</t>
        </is>
      </c>
      <c r="B108" s="8" t="inlineStr">
        <is>
          <t>KBC</t>
        </is>
      </c>
      <c r="C108" s="8" t="inlineStr">
        <is>
          <t>KBC Verzekeringen</t>
        </is>
      </c>
      <c r="D108" s="8" t="inlineStr">
        <is>
          <t>Verzekering</t>
        </is>
      </c>
      <c r="E108" s="8" t="inlineStr">
        <is>
          <t>GEEN</t>
        </is>
      </c>
      <c r="F108" s="8" t="inlineStr">
        <is>
          <t>82 zonder btw</t>
        </is>
      </c>
      <c r="G108" s="8" t="inlineStr">
        <is>
          <t>vrijgesteld / geen btw</t>
        </is>
      </c>
      <c r="H108" s="9" t="n">
        <v>18.47</v>
      </c>
      <c r="I108" s="10">
        <f>H108</f>
        <v/>
      </c>
      <c r="J108" s="10" t="n">
        <v>0</v>
      </c>
    </row>
    <row r="109">
      <c r="A109" s="8" t="inlineStr">
        <is>
          <t>2026-09-28</t>
        </is>
      </c>
      <c r="B109" s="8" t="inlineStr">
        <is>
          <t>KBC</t>
        </is>
      </c>
      <c r="C109" s="8" t="inlineStr">
        <is>
          <t>Findajob bv</t>
        </is>
      </c>
      <c r="D109" s="8" t="inlineStr">
        <is>
          <t>Personeel (student)</t>
        </is>
      </c>
      <c r="E109" s="8" t="inlineStr">
        <is>
          <t>BE21</t>
        </is>
      </c>
      <c r="F109" s="8" t="inlineStr">
        <is>
          <t>82 (+ btw in 59)</t>
        </is>
      </c>
      <c r="G109" s="8" t="inlineStr">
        <is>
          <t>Belgische leverancier</t>
        </is>
      </c>
      <c r="H109" s="9" t="n">
        <v>218.55</v>
      </c>
      <c r="I109" s="10">
        <f>H109/1.21</f>
        <v/>
      </c>
      <c r="J109" s="10">
        <f>H109-I109</f>
        <v/>
      </c>
    </row>
    <row r="110">
      <c r="A110" s="8" t="inlineStr">
        <is>
          <t>2026-09-28</t>
        </is>
      </c>
      <c r="B110" s="8" t="inlineStr">
        <is>
          <t>KBC</t>
        </is>
      </c>
      <c r="C110" s="8" t="inlineStr">
        <is>
          <t>Findajob bv</t>
        </is>
      </c>
      <c r="D110" s="8" t="inlineStr">
        <is>
          <t>Personeel (student)</t>
        </is>
      </c>
      <c r="E110" s="8" t="inlineStr">
        <is>
          <t>BE21</t>
        </is>
      </c>
      <c r="F110" s="8" t="inlineStr">
        <is>
          <t>82 (+ btw in 59)</t>
        </is>
      </c>
      <c r="G110" s="8" t="inlineStr">
        <is>
          <t>Belgische leverancier</t>
        </is>
      </c>
      <c r="H110" s="9" t="n">
        <v>437.1</v>
      </c>
      <c r="I110" s="10">
        <f>H110/1.21</f>
        <v/>
      </c>
      <c r="J110" s="10">
        <f>H110-I110</f>
        <v/>
      </c>
    </row>
    <row r="111">
      <c r="A111" s="8" t="inlineStr">
        <is>
          <t>2026-09-28</t>
        </is>
      </c>
      <c r="B111" s="8" t="inlineStr">
        <is>
          <t>KBC</t>
        </is>
      </c>
      <c r="C111" s="8" t="inlineStr">
        <is>
          <t>Pro-Count</t>
        </is>
      </c>
      <c r="D111" s="8" t="inlineStr">
        <is>
          <t>Boekhouder</t>
        </is>
      </c>
      <c r="E111" s="8" t="inlineStr">
        <is>
          <t>BE21</t>
        </is>
      </c>
      <c r="F111" s="8" t="inlineStr">
        <is>
          <t>82 (+ btw in 59)</t>
        </is>
      </c>
      <c r="G111" s="8" t="inlineStr">
        <is>
          <t>Belgische leverancier</t>
        </is>
      </c>
      <c r="H111" s="9" t="n">
        <v>242</v>
      </c>
      <c r="I111" s="10">
        <f>H111/1.21</f>
        <v/>
      </c>
      <c r="J111" s="10">
        <f>H111-I111</f>
        <v/>
      </c>
    </row>
    <row r="112">
      <c r="A112" s="8" t="inlineStr">
        <is>
          <t>2026-09-28</t>
        </is>
      </c>
      <c r="B112" s="8" t="inlineStr">
        <is>
          <t>KBC</t>
        </is>
      </c>
      <c r="C112" s="8" t="inlineStr">
        <is>
          <t>bpost</t>
        </is>
      </c>
      <c r="D112" s="8" t="inlineStr">
        <is>
          <t>Verzending &amp; retours (overig)</t>
        </is>
      </c>
      <c r="E112" s="8" t="inlineStr">
        <is>
          <t>BE21</t>
        </is>
      </c>
      <c r="F112" s="8" t="inlineStr">
        <is>
          <t>82 (+ btw in 59)</t>
        </is>
      </c>
      <c r="G112" s="8" t="inlineStr">
        <is>
          <t>Belgische leverancier</t>
        </is>
      </c>
      <c r="H112" s="9" t="n">
        <v>6.78</v>
      </c>
      <c r="I112" s="10">
        <f>H112/1.21</f>
        <v/>
      </c>
      <c r="J112" s="10">
        <f>H112-I112</f>
        <v/>
      </c>
    </row>
    <row r="113">
      <c r="A113" s="8" t="inlineStr">
        <is>
          <t>2026-09-28</t>
        </is>
      </c>
      <c r="B113" s="8" t="inlineStr">
        <is>
          <t>KBC</t>
        </is>
      </c>
      <c r="C113" s="8" t="inlineStr">
        <is>
          <t>Widem Logistics NV</t>
        </is>
      </c>
      <c r="D113" s="8" t="inlineStr">
        <is>
          <t>Widem (fulfilment, vracht, invoer)</t>
        </is>
      </c>
      <c r="E113" s="8" t="inlineStr">
        <is>
          <t>BE21</t>
        </is>
      </c>
      <c r="F113" s="8" t="inlineStr">
        <is>
          <t>82 (+ btw in 59)</t>
        </is>
      </c>
      <c r="G113" s="8" t="inlineStr">
        <is>
          <t>Belgische leverancier</t>
        </is>
      </c>
      <c r="H113" s="9" t="n">
        <v>3251.79</v>
      </c>
      <c r="I113" s="10">
        <f>H113/1.21</f>
        <v/>
      </c>
      <c r="J113" s="10">
        <f>H113-I113</f>
        <v/>
      </c>
    </row>
    <row r="114">
      <c r="A114" s="8" t="inlineStr">
        <is>
          <t>2026-09-28</t>
        </is>
      </c>
      <c r="B114" s="8" t="inlineStr">
        <is>
          <t>KBC</t>
        </is>
      </c>
      <c r="C114" s="8" t="inlineStr">
        <is>
          <t>Findajob bv</t>
        </is>
      </c>
      <c r="D114" s="8" t="inlineStr">
        <is>
          <t>Personeel (student)</t>
        </is>
      </c>
      <c r="E114" s="8" t="inlineStr">
        <is>
          <t>BE21</t>
        </is>
      </c>
      <c r="F114" s="8" t="inlineStr">
        <is>
          <t>82 (+ btw in 59)</t>
        </is>
      </c>
      <c r="G114" s="8" t="inlineStr">
        <is>
          <t>Belgische leverancier</t>
        </is>
      </c>
      <c r="H114" s="9" t="n">
        <v>238.42</v>
      </c>
      <c r="I114" s="10">
        <f>H114/1.21</f>
        <v/>
      </c>
      <c r="J114" s="10">
        <f>H114-I114</f>
        <v/>
      </c>
    </row>
    <row r="115">
      <c r="A115" s="8" t="inlineStr">
        <is>
          <t>2026-09-29</t>
        </is>
      </c>
      <c r="B115" s="8" t="inlineStr">
        <is>
          <t>KBC</t>
        </is>
      </c>
      <c r="C115" s="8" t="inlineStr">
        <is>
          <t>Afrekening op 30-09-2026 van BE84 7310 7076 0</t>
        </is>
      </c>
      <c r="D115" s="8" t="inlineStr">
        <is>
          <t>Bankkosten</t>
        </is>
      </c>
      <c r="E115" s="8" t="inlineStr">
        <is>
          <t>GEEN</t>
        </is>
      </c>
      <c r="F115" s="8" t="inlineStr">
        <is>
          <t>82 zonder btw</t>
        </is>
      </c>
      <c r="G115" s="8" t="inlineStr">
        <is>
          <t>vrijgesteld / geen btw</t>
        </is>
      </c>
      <c r="H115" s="9" t="n">
        <v>0.91</v>
      </c>
      <c r="I115" s="10">
        <f>H115</f>
        <v/>
      </c>
      <c r="J115" s="10" t="n">
        <v>0</v>
      </c>
    </row>
    <row r="116">
      <c r="A116" s="8" t="inlineStr">
        <is>
          <t>2026-09-30</t>
        </is>
      </c>
      <c r="B116" s="8" t="inlineStr">
        <is>
          <t>KBC</t>
        </is>
      </c>
      <c r="C116" s="8" t="inlineStr">
        <is>
          <t>FACEBK *B9KZT5N7A4 IED04 X2K5 DUBLIN Betaling</t>
        </is>
      </c>
      <c r="D116" s="8" t="inlineStr">
        <is>
          <t>Ads Meta</t>
        </is>
      </c>
      <c r="E116" s="8" t="inlineStr">
        <is>
          <t>EU</t>
        </is>
      </c>
      <c r="F116" s="8" t="inlineStr">
        <is>
          <t>88 / 55 / 59</t>
        </is>
      </c>
      <c r="G116" s="8" t="inlineStr">
        <is>
          <t>dienst Ierland/EU, verlegd</t>
        </is>
      </c>
      <c r="H116" s="9" t="n">
        <v>800</v>
      </c>
      <c r="I116" s="10">
        <f>H116</f>
        <v/>
      </c>
      <c r="J116" s="10">
        <f>I116*0.21</f>
        <v/>
      </c>
    </row>
    <row r="117">
      <c r="A117" s="8" t="inlineStr">
        <is>
          <t>2026-09-30</t>
        </is>
      </c>
      <c r="B117" s="8" t="inlineStr">
        <is>
          <t>KBC</t>
        </is>
      </c>
      <c r="C117" s="8" t="inlineStr">
        <is>
          <t>Aanrekening kosten Beheer kredietdossier C22-</t>
        </is>
      </c>
      <c r="D117" s="8" t="inlineStr">
        <is>
          <t>Bankkosten</t>
        </is>
      </c>
      <c r="E117" s="8" t="inlineStr">
        <is>
          <t>GEEN</t>
        </is>
      </c>
      <c r="F117" s="8" t="inlineStr">
        <is>
          <t>82 zonder btw</t>
        </is>
      </c>
      <c r="G117" s="8" t="inlineStr">
        <is>
          <t>vrijgesteld / geen btw</t>
        </is>
      </c>
      <c r="H117" s="9" t="n">
        <v>24.56</v>
      </c>
      <c r="I117" s="10">
        <f>H117</f>
        <v/>
      </c>
      <c r="J117" s="10" t="n">
        <v>0</v>
      </c>
    </row>
  </sheetData>
  <autoFilter ref="A3:J1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6" customWidth="1" min="3" max="3"/>
  </cols>
  <sheetData>
    <row r="1">
      <c r="A1" s="6" t="inlineStr">
        <is>
          <t>Btw-aangifte Q3 2026 — voorbereiding (ter controle door Pro-count)</t>
        </is>
      </c>
    </row>
    <row r="3">
      <c r="A3" s="7" t="inlineStr">
        <is>
          <t>Vak</t>
        </is>
      </c>
      <c r="B3" s="7" t="inlineStr">
        <is>
          <t>Omschrijving</t>
        </is>
      </c>
      <c r="C3" s="7" t="inlineStr">
        <is>
          <t>Bedrag</t>
        </is>
      </c>
    </row>
    <row r="4">
      <c r="A4" s="8" t="inlineStr">
        <is>
          <t>03</t>
        </is>
      </c>
      <c r="B4" s="8" t="inlineStr">
        <is>
          <t>Verkopen 21% (maatstaf): Shopify netto + verzending excl. btw + bol netto</t>
        </is>
      </c>
      <c r="C4" s="9">
        <f>Verkopen!F9+Verkopen!G9/1.21+Verkopen!D16</f>
        <v/>
      </c>
    </row>
    <row r="5">
      <c r="A5" s="8" t="inlineStr">
        <is>
          <t>54</t>
        </is>
      </c>
      <c r="B5" s="8" t="inlineStr">
        <is>
          <t>Verschuldigde btw op verkopen</t>
        </is>
      </c>
      <c r="C5" s="9">
        <f>Verkopen!H9+Verkopen!E16</f>
        <v/>
      </c>
    </row>
    <row r="6">
      <c r="A6" s="8" t="inlineStr">
        <is>
          <t>82</t>
        </is>
      </c>
      <c r="B6" s="8" t="inlineStr">
        <is>
          <t>Aankopen diensten en diverse goederen BE (maatstaf, incl. niet-aftrekbaar)</t>
        </is>
      </c>
      <c r="C6" s="9">
        <f>SUMIFS(Aankopen!$I$4:$I$117,Aankopen!$E$4:$E$117,"BE21")+SUMIFS(Aankopen!$I$4:$I$117,Aankopen!$E$4:$E$117,"BE21NA")+SUMIFS(Aankopen!$I$4:$I$117,Aankopen!$E$4:$E$117,"GEEN")</f>
        <v/>
      </c>
    </row>
    <row r="7">
      <c r="A7" s="8" t="inlineStr">
        <is>
          <t>88</t>
        </is>
      </c>
      <c r="B7" s="8" t="inlineStr">
        <is>
          <t>Diensten uit andere EU-landen (verlegd) — maatstaf</t>
        </is>
      </c>
      <c r="C7" s="9">
        <f>SUMIFS(Aankopen!$I$4:$I$117,Aankopen!$E$4:$E$117,"EU")</f>
        <v/>
      </c>
    </row>
    <row r="8">
      <c r="A8" s="8" t="inlineStr">
        <is>
          <t>55</t>
        </is>
      </c>
      <c r="B8" s="8" t="inlineStr">
        <is>
          <t>Btw op vak 88 (verlegd, verschuldigd)</t>
        </is>
      </c>
      <c r="C8" s="9">
        <f>SUMIFS(Aankopen!$J$4:$J$117,Aankopen!$E$4:$E$117,"EU")</f>
        <v/>
      </c>
    </row>
    <row r="9">
      <c r="A9" s="8" t="inlineStr">
        <is>
          <t>87</t>
        </is>
      </c>
      <c r="B9" s="8" t="inlineStr">
        <is>
          <t>Diensten van buiten de EU (verlegd) + invoer art. 41 — maatstaf</t>
        </is>
      </c>
      <c r="C9" s="9">
        <f>SUMIFS(Aankopen!$I$4:$I$117,Aankopen!$E$4:$E$117,"NONEU")+0</f>
        <v/>
      </c>
    </row>
    <row r="10">
      <c r="A10" s="8" t="inlineStr">
        <is>
          <t>56</t>
        </is>
      </c>
      <c r="B10" s="8" t="inlineStr">
        <is>
          <t>Btw op vak 87 (verlegd, verschuldigd)</t>
        </is>
      </c>
      <c r="C10" s="9">
        <f>SUMIFS(Aankopen!$J$4:$J$117,Aankopen!$E$4:$E$117,"NONEU")</f>
        <v/>
      </c>
    </row>
    <row r="11">
      <c r="A11" s="8" t="inlineStr">
        <is>
          <t>59</t>
        </is>
      </c>
      <c r="B11" s="8" t="inlineStr">
        <is>
          <t>Aftrekbare btw: Belgische aankopen 21% + verlegde btw 55 + 56 + 57</t>
        </is>
      </c>
      <c r="C11" s="9">
        <f>SUMIFS(Aankopen!$J$4:$J$117,Aankopen!$E$4:$E$117,"BE21")+C8+C10+C15</f>
        <v/>
      </c>
    </row>
    <row r="12">
      <c r="A12" s="8" t="inlineStr"/>
      <c r="B12" s="8" t="inlineStr">
        <is>
          <t>Te betalen (54 + 55 + 56 + 57 − 59)</t>
        </is>
      </c>
      <c r="C12" s="9">
        <f>C5+C8+C10+C15-C11</f>
        <v/>
      </c>
    </row>
    <row r="13">
      <c r="A13" s="8" t="inlineStr"/>
      <c r="B13" s="8" t="inlineStr">
        <is>
          <t>Opgegeven door Pro-count (mail 22/10/2026)</t>
        </is>
      </c>
      <c r="C13" s="9" t="n">
        <v>6873.24</v>
      </c>
    </row>
    <row r="14">
      <c r="A14" s="8" t="inlineStr"/>
      <c r="B14" s="8" t="inlineStr">
        <is>
          <t>Verschil voorbereiding − Pro-count</t>
        </is>
      </c>
      <c r="C14" s="9">
        <f>C12-C13</f>
        <v/>
      </c>
    </row>
    <row r="15">
      <c r="A15" s="8" t="inlineStr">
        <is>
          <t>57</t>
        </is>
      </c>
      <c r="B15" s="8" t="inlineStr">
        <is>
          <t>Btw op invoer met verlegging (art. 41, invoeraangiftes Widem)</t>
        </is>
      </c>
      <c r="C15" s="9" t="n">
        <v>0</v>
      </c>
    </row>
    <row r="16">
      <c r="A16" s="5" t="inlineStr">
        <is>
          <t>Niet in deze voorbereiding: btw-correcties, en uitgaven van het type 'NAKIJKEN' (zie Aankopen).</t>
        </is>
      </c>
    </row>
    <row r="17">
      <c r="A17" s="5" t="inlineStr">
        <is>
          <t>Invoer: waarde onbekend voor WID202607353 (invoeraangifte opvragen bij Widem); 57 en 59 heffen elkaar op.</t>
        </is>
      </c>
    </row>
    <row r="18">
      <c r="A18" s="5" t="inlineStr">
        <is>
          <t>Ook alle NL-verkopen dragen nu Belgische btw (OSS-drempel €10.000 nog niet bereikt, zie OSS).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</cols>
  <sheetData>
    <row r="1">
      <c r="A1" s="6" t="inlineStr">
        <is>
          <t>Bankafstemming Q3 2026</t>
        </is>
      </c>
    </row>
    <row r="3">
      <c r="A3" s="7" t="inlineStr">
        <is>
          <t>Rekening</t>
        </is>
      </c>
      <c r="B3" s="7" t="inlineStr">
        <is>
          <t>Munt</t>
        </is>
      </c>
      <c r="C3" s="7" t="inlineStr">
        <is>
          <t>Beginsaldo</t>
        </is>
      </c>
      <c r="D3" s="7" t="inlineStr">
        <is>
          <t>In</t>
        </is>
      </c>
      <c r="E3" s="7" t="inlineStr">
        <is>
          <t>Uit</t>
        </is>
      </c>
      <c r="F3" s="7" t="inlineStr">
        <is>
          <t>Eindsaldo</t>
        </is>
      </c>
      <c r="G3" s="7" t="inlineStr">
        <is>
          <t>Verrichtingen</t>
        </is>
      </c>
      <c r="H3" s="11" t="inlineStr">
        <is>
          <t>Controle (moet 0 zijn)</t>
        </is>
      </c>
    </row>
    <row r="4">
      <c r="A4" s="8" t="inlineStr">
        <is>
          <t>KBC zichtrekening BE84 7310 7076 0259</t>
        </is>
      </c>
      <c r="B4" s="8" t="inlineStr">
        <is>
          <t>EUR</t>
        </is>
      </c>
      <c r="C4" s="9" t="n">
        <v>7820.06</v>
      </c>
      <c r="D4" s="9" t="n">
        <v>53220.46</v>
      </c>
      <c r="E4" s="9" t="n">
        <v>-61371.71</v>
      </c>
      <c r="F4" s="9" t="n">
        <v>-331.19</v>
      </c>
      <c r="G4" s="8" t="n">
        <v>165</v>
      </c>
      <c r="H4" s="10">
        <f>C4+D4+E4-F4</f>
        <v/>
      </c>
    </row>
    <row r="5">
      <c r="A5" s="8" t="inlineStr">
        <is>
          <t>Revolut Business EUR</t>
        </is>
      </c>
      <c r="B5" s="8" t="inlineStr">
        <is>
          <t>EUR</t>
        </is>
      </c>
      <c r="C5" s="9" t="n">
        <v>235.25</v>
      </c>
      <c r="D5" s="9" t="n">
        <v>9035</v>
      </c>
      <c r="E5" s="9" t="n">
        <v>-9270.25</v>
      </c>
      <c r="F5" s="9" t="n">
        <v>0</v>
      </c>
      <c r="G5" s="8" t="n">
        <v>6</v>
      </c>
      <c r="H5" s="10">
        <f>C5+D5+E5-F5</f>
        <v/>
      </c>
    </row>
    <row r="6">
      <c r="A6" s="8" t="inlineStr">
        <is>
          <t>Revolut Business USD</t>
        </is>
      </c>
      <c r="B6" s="8" t="inlineStr">
        <is>
          <t>USD</t>
        </is>
      </c>
      <c r="C6" s="9" t="n">
        <v>-0</v>
      </c>
      <c r="D6" s="9" t="n">
        <v>10610.49</v>
      </c>
      <c r="E6" s="9" t="n">
        <v>-10040.65</v>
      </c>
      <c r="F6" s="9" t="n">
        <v>569.84</v>
      </c>
      <c r="G6" s="8" t="n">
        <v>3</v>
      </c>
      <c r="H6" s="10">
        <f>C6+D6+E6-F6</f>
        <v/>
      </c>
    </row>
    <row r="8">
      <c r="A8" s="5" t="inlineStr">
        <is>
          <t>Saldi teruggerekend vanaf de bankstand van 2026-10-26 (Ponto/Revolut). KBC-kredietkaart: zie Aankopen (rekening 'KBC-kaart'); afrekening via de zichtrekening.</t>
        </is>
      </c>
    </row>
    <row r="9">
      <c r="A9" t="inlineStr">
        <is>
          <t>Kredietkaartuitgaven in dit kwartaal</t>
        </is>
      </c>
      <c r="F9" s="10" t="n">
        <v>3737.8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14" customWidth="1" min="3" max="3"/>
    <col width="10" customWidth="1" min="4" max="4"/>
    <col width="12" customWidth="1" min="5" max="5"/>
    <col width="50" customWidth="1" min="6" max="6"/>
  </cols>
  <sheetData>
    <row r="1">
      <c r="A1" s="6" t="inlineStr">
        <is>
          <t>Bewijs per verrichting: 39 gekoppeld, 78 verklaard (geen factuur nodig, niet in deze lijst), 65 ontbreken. Facturen zitten in de map Facturen_Q3-2026 (bestandsnaam = datum_leverancier_bedrag).</t>
        </is>
      </c>
    </row>
    <row r="3">
      <c r="A3" s="7" t="inlineStr">
        <is>
          <t>Datum</t>
        </is>
      </c>
      <c r="B3" s="7" t="inlineStr">
        <is>
          <t>Tegenpartij</t>
        </is>
      </c>
      <c r="C3" s="7" t="inlineStr">
        <is>
          <t>Bedrag</t>
        </is>
      </c>
      <c r="D3" s="7" t="inlineStr">
        <is>
          <t>Btw-type</t>
        </is>
      </c>
      <c r="E3" s="7" t="inlineStr">
        <is>
          <t>Status</t>
        </is>
      </c>
      <c r="F3" s="7" t="inlineStr">
        <is>
          <t>Bewijs</t>
        </is>
      </c>
    </row>
    <row r="4">
      <c r="A4" s="8" t="inlineStr">
        <is>
          <t>2026-07-01</t>
        </is>
      </c>
      <c r="B4" s="8" t="inlineStr">
        <is>
          <t>GOOGLE*WORKSPACE SMART IED02 R296 CC GOOGLE.COM Be</t>
        </is>
      </c>
      <c r="C4" s="9" t="n">
        <v>-75.90000000000001</v>
      </c>
      <c r="D4" s="8" t="inlineStr">
        <is>
          <t>EU</t>
        </is>
      </c>
      <c r="E4" s="8" t="inlineStr">
        <is>
          <t>ontbreekt</t>
        </is>
      </c>
      <c r="F4" s="8" t="inlineStr"/>
    </row>
    <row r="5">
      <c r="A5" s="8" t="inlineStr">
        <is>
          <t>2026-07-01</t>
        </is>
      </c>
      <c r="B5" s="8" t="inlineStr">
        <is>
          <t>Yuki Works NV via Mollie</t>
        </is>
      </c>
      <c r="C5" s="9" t="n">
        <v>-2.42</v>
      </c>
      <c r="D5" s="8" t="inlineStr">
        <is>
          <t>BE21</t>
        </is>
      </c>
      <c r="E5" s="8" t="inlineStr">
        <is>
          <t>ontbreekt</t>
        </is>
      </c>
      <c r="F5" s="8" t="inlineStr"/>
    </row>
    <row r="6">
      <c r="A6" s="8" t="inlineStr">
        <is>
          <t>2026-07-01</t>
        </is>
      </c>
      <c r="B6" s="8" t="inlineStr">
        <is>
          <t>Google ADS4790542578</t>
        </is>
      </c>
      <c r="C6" s="9" t="n">
        <v>-158.5</v>
      </c>
      <c r="D6" s="8" t="inlineStr">
        <is>
          <t>EU</t>
        </is>
      </c>
      <c r="E6" s="8" t="inlineStr">
        <is>
          <t>ontbreekt</t>
        </is>
      </c>
      <c r="F6" s="8" t="inlineStr"/>
    </row>
    <row r="7">
      <c r="A7" s="8" t="inlineStr">
        <is>
          <t>2026-07-04</t>
        </is>
      </c>
      <c r="B7" s="8" t="inlineStr">
        <is>
          <t>RETURNGO</t>
        </is>
      </c>
      <c r="C7" s="9" t="n">
        <v>-86</v>
      </c>
      <c r="D7" s="8" t="inlineStr">
        <is>
          <t>NONEU</t>
        </is>
      </c>
      <c r="E7" s="8" t="inlineStr">
        <is>
          <t>ontbreekt</t>
        </is>
      </c>
      <c r="F7" s="8" t="inlineStr"/>
    </row>
    <row r="8">
      <c r="A8" s="8" t="inlineStr">
        <is>
          <t>2026-07-05</t>
        </is>
      </c>
      <c r="B8" s="8" t="inlineStr">
        <is>
          <t>Pro-Count</t>
        </is>
      </c>
      <c r="C8" s="9" t="n">
        <v>-242</v>
      </c>
      <c r="D8" s="8" t="inlineStr">
        <is>
          <t>BE21</t>
        </is>
      </c>
      <c r="E8" s="8" t="inlineStr">
        <is>
          <t>ontbreekt</t>
        </is>
      </c>
      <c r="F8" s="8" t="inlineStr"/>
    </row>
    <row r="9">
      <c r="A9" s="8" t="inlineStr">
        <is>
          <t>2026-07-05</t>
        </is>
      </c>
      <c r="B9" s="8" t="inlineStr">
        <is>
          <t>Pro-Count</t>
        </is>
      </c>
      <c r="C9" s="9" t="n">
        <v>-242</v>
      </c>
      <c r="D9" s="8" t="inlineStr">
        <is>
          <t>BE21</t>
        </is>
      </c>
      <c r="E9" s="8" t="inlineStr">
        <is>
          <t>ontbreekt</t>
        </is>
      </c>
      <c r="F9" s="8" t="inlineStr"/>
    </row>
    <row r="10">
      <c r="A10" s="8" t="inlineStr">
        <is>
          <t>2026-07-05</t>
        </is>
      </c>
      <c r="B10" s="8" t="inlineStr">
        <is>
          <t>Widem Logistics NV</t>
        </is>
      </c>
      <c r="C10" s="9" t="n">
        <v>-527.83</v>
      </c>
      <c r="D10" s="8" t="inlineStr">
        <is>
          <t>BE21</t>
        </is>
      </c>
      <c r="E10" s="8" t="inlineStr">
        <is>
          <t>ontbreekt</t>
        </is>
      </c>
      <c r="F10" s="8" t="inlineStr"/>
    </row>
    <row r="11">
      <c r="A11" s="8" t="inlineStr">
        <is>
          <t>2026-07-05</t>
        </is>
      </c>
      <c r="B11" s="8" t="inlineStr">
        <is>
          <t>Findajob bv</t>
        </is>
      </c>
      <c r="C11" s="9" t="n">
        <v>-75.78</v>
      </c>
      <c r="D11" s="8" t="inlineStr">
        <is>
          <t>BE21</t>
        </is>
      </c>
      <c r="E11" s="8" t="inlineStr">
        <is>
          <t>ontbreekt</t>
        </is>
      </c>
      <c r="F11" s="8" t="inlineStr"/>
    </row>
    <row r="12">
      <c r="A12" s="8" t="inlineStr">
        <is>
          <t>2026-07-05</t>
        </is>
      </c>
      <c r="B12" s="8" t="inlineStr">
        <is>
          <t>Henri Steyaert</t>
        </is>
      </c>
      <c r="C12" s="9" t="n">
        <v>-91.84</v>
      </c>
      <c r="D12" s="8" t="inlineStr">
        <is>
          <t>NAKIJKEN</t>
        </is>
      </c>
      <c r="E12" s="8" t="inlineStr">
        <is>
          <t>ontbreekt</t>
        </is>
      </c>
      <c r="F12" s="8" t="inlineStr"/>
    </row>
    <row r="13">
      <c r="A13" s="8" t="inlineStr">
        <is>
          <t>2026-07-05</t>
        </is>
      </c>
      <c r="B13" s="8" t="inlineStr">
        <is>
          <t>Findajob bv</t>
        </is>
      </c>
      <c r="C13" s="9" t="n">
        <v>-18.95</v>
      </c>
      <c r="D13" s="8" t="inlineStr">
        <is>
          <t>BE21</t>
        </is>
      </c>
      <c r="E13" s="8" t="inlineStr">
        <is>
          <t>ontbreekt</t>
        </is>
      </c>
      <c r="F13" s="8" t="inlineStr"/>
    </row>
    <row r="14">
      <c r="A14" s="8" t="inlineStr">
        <is>
          <t>2026-07-08</t>
        </is>
      </c>
      <c r="B14" s="8" t="inlineStr">
        <is>
          <t>Company Pro plan fee</t>
        </is>
      </c>
      <c r="C14" s="9" t="n">
        <v>-35</v>
      </c>
      <c r="D14" s="8" t="inlineStr">
        <is>
          <t>GEEN</t>
        </is>
      </c>
      <c r="E14" s="8" t="inlineStr">
        <is>
          <t>ontbreekt</t>
        </is>
      </c>
      <c r="F14" s="8" t="inlineStr"/>
    </row>
    <row r="15">
      <c r="A15" s="8" t="inlineStr">
        <is>
          <t>2026-07-09</t>
        </is>
      </c>
      <c r="B15" s="8" t="inlineStr">
        <is>
          <t>WIDEM LOGISTICS NV</t>
        </is>
      </c>
      <c r="C15" s="9" t="n">
        <v>-261.04</v>
      </c>
      <c r="D15" s="8" t="inlineStr">
        <is>
          <t>BE21</t>
        </is>
      </c>
      <c r="E15" s="8" t="inlineStr">
        <is>
          <t>ontbreekt</t>
        </is>
      </c>
      <c r="F15" s="8" t="inlineStr"/>
    </row>
    <row r="16">
      <c r="A16" s="8" t="inlineStr">
        <is>
          <t>2026-07-09</t>
        </is>
      </c>
      <c r="B16" s="8" t="inlineStr">
        <is>
          <t>WIDEM LOGISTICS NV</t>
        </is>
      </c>
      <c r="C16" s="9" t="n">
        <v>-364.58</v>
      </c>
      <c r="D16" s="8" t="inlineStr">
        <is>
          <t>BE21</t>
        </is>
      </c>
      <c r="E16" s="8" t="inlineStr">
        <is>
          <t>ontbreekt</t>
        </is>
      </c>
      <c r="F16" s="8" t="inlineStr"/>
    </row>
    <row r="17">
      <c r="A17" s="8" t="inlineStr">
        <is>
          <t>2026-07-11</t>
        </is>
      </c>
      <c r="B17" s="8" t="inlineStr">
        <is>
          <t>SHOPIFY* 556521062</t>
        </is>
      </c>
      <c r="C17" s="9" t="n">
        <v>-141.39</v>
      </c>
      <c r="D17" s="8" t="inlineStr">
        <is>
          <t>EU</t>
        </is>
      </c>
      <c r="E17" s="8" t="inlineStr">
        <is>
          <t>ontbreekt</t>
        </is>
      </c>
      <c r="F17" s="8" t="inlineStr"/>
    </row>
    <row r="18">
      <c r="A18" s="8" t="inlineStr">
        <is>
          <t>2026-07-12</t>
        </is>
      </c>
      <c r="B18" s="8" t="inlineStr">
        <is>
          <t>Google ADS4790542578</t>
        </is>
      </c>
      <c r="C18" s="9" t="n">
        <v>-500</v>
      </c>
      <c r="D18" s="8" t="inlineStr">
        <is>
          <t>EU</t>
        </is>
      </c>
      <c r="E18" s="8" t="inlineStr">
        <is>
          <t>ontbreekt</t>
        </is>
      </c>
      <c r="F18" s="8" t="inlineStr"/>
    </row>
    <row r="19">
      <c r="A19" s="8" t="inlineStr">
        <is>
          <t>2026-07-19</t>
        </is>
      </c>
      <c r="B19" s="8" t="inlineStr">
        <is>
          <t>HIGGSFIELD INC. US94105 SAN FRANCISCO Betaling met</t>
        </is>
      </c>
      <c r="C19" s="9" t="n">
        <v>-72</v>
      </c>
      <c r="D19" s="8" t="inlineStr">
        <is>
          <t>NONEU</t>
        </is>
      </c>
      <c r="E19" s="8" t="inlineStr">
        <is>
          <t>ontbreekt</t>
        </is>
      </c>
      <c r="F19" s="8" t="inlineStr"/>
    </row>
    <row r="20">
      <c r="A20" s="8" t="inlineStr">
        <is>
          <t>2026-07-20</t>
        </is>
      </c>
      <c r="B20" s="8" t="inlineStr">
        <is>
          <t>SP PACKAGINGDISCOUNTER</t>
        </is>
      </c>
      <c r="C20" s="9" t="n">
        <v>-360</v>
      </c>
      <c r="D20" s="8" t="inlineStr">
        <is>
          <t>NAKIJKEN</t>
        </is>
      </c>
      <c r="E20" s="8" t="inlineStr">
        <is>
          <t>ontbreekt</t>
        </is>
      </c>
      <c r="F20" s="8" t="inlineStr"/>
    </row>
    <row r="21">
      <c r="A21" s="8" t="inlineStr">
        <is>
          <t>2026-07-23</t>
        </is>
      </c>
      <c r="B21" s="8" t="inlineStr">
        <is>
          <t>BPOST NV BE1000 BRUXELLES Betaling met KBC-Debetka</t>
        </is>
      </c>
      <c r="C21" s="9" t="n">
        <v>-5.6</v>
      </c>
      <c r="D21" s="8" t="inlineStr">
        <is>
          <t>BE21</t>
        </is>
      </c>
      <c r="E21" s="8" t="inlineStr">
        <is>
          <t>ontbreekt</t>
        </is>
      </c>
      <c r="F21" s="8" t="inlineStr"/>
    </row>
    <row r="22">
      <c r="A22" s="8" t="inlineStr">
        <is>
          <t>2026-07-23</t>
        </is>
      </c>
      <c r="B22" s="8" t="inlineStr">
        <is>
          <t>YAKI NOODLE BAR BE9000 GENT Betaling met KBC-Debet</t>
        </is>
      </c>
      <c r="C22" s="9" t="n">
        <v>-15</v>
      </c>
      <c r="D22" s="8" t="inlineStr">
        <is>
          <t>BE21NA</t>
        </is>
      </c>
      <c r="E22" s="8" t="inlineStr">
        <is>
          <t>ontbreekt</t>
        </is>
      </c>
      <c r="F22" s="8" t="inlineStr"/>
    </row>
    <row r="23">
      <c r="A23" s="8" t="inlineStr">
        <is>
          <t>2026-07-26</t>
        </is>
      </c>
      <c r="B23" s="8" t="inlineStr">
        <is>
          <t>AMBULANTE ZELFSTANDIGEN VZW</t>
        </is>
      </c>
      <c r="C23" s="9" t="n">
        <v>-210</v>
      </c>
      <c r="D23" s="8" t="inlineStr">
        <is>
          <t>NAKIJKEN</t>
        </is>
      </c>
      <c r="E23" s="8" t="inlineStr">
        <is>
          <t>ontbreekt</t>
        </is>
      </c>
      <c r="F23" s="8" t="inlineStr"/>
    </row>
    <row r="24">
      <c r="A24" s="8" t="inlineStr">
        <is>
          <t>2026-07-26</t>
        </is>
      </c>
      <c r="B24" s="8" t="inlineStr">
        <is>
          <t>KBC Verzekeringen</t>
        </is>
      </c>
      <c r="C24" s="9" t="n">
        <v>-18.47</v>
      </c>
      <c r="D24" s="8" t="inlineStr">
        <is>
          <t>GEEN</t>
        </is>
      </c>
      <c r="E24" s="8" t="inlineStr">
        <is>
          <t>ontbreekt</t>
        </is>
      </c>
      <c r="F24" s="8" t="inlineStr"/>
    </row>
    <row r="25">
      <c r="A25" s="8" t="inlineStr">
        <is>
          <t>2026-07-26</t>
        </is>
      </c>
      <c r="B25" s="8" t="inlineStr">
        <is>
          <t>FINDAJOB BV</t>
        </is>
      </c>
      <c r="C25" s="9" t="n">
        <v>-293.64</v>
      </c>
      <c r="D25" s="8" t="inlineStr">
        <is>
          <t>BE21</t>
        </is>
      </c>
      <c r="E25" s="8" t="inlineStr">
        <is>
          <t>ontbreekt</t>
        </is>
      </c>
      <c r="F25" s="8" t="inlineStr"/>
    </row>
    <row r="26">
      <c r="A26" s="8" t="inlineStr">
        <is>
          <t>2026-07-27</t>
        </is>
      </c>
      <c r="B26" s="8" t="inlineStr">
        <is>
          <t>BPOST NV BE1000 BRUXELLES Betaling met KBC-Debetka</t>
        </is>
      </c>
      <c r="C26" s="9" t="n">
        <v>-7.1</v>
      </c>
      <c r="D26" s="8" t="inlineStr">
        <is>
          <t>BE21</t>
        </is>
      </c>
      <c r="E26" s="8" t="inlineStr">
        <is>
          <t>ontbreekt</t>
        </is>
      </c>
      <c r="F26" s="8" t="inlineStr"/>
    </row>
    <row r="27">
      <c r="A27" s="8" t="inlineStr">
        <is>
          <t>2026-07-28</t>
        </is>
      </c>
      <c r="B27" s="8" t="inlineStr">
        <is>
          <t>bpost parcel</t>
        </is>
      </c>
      <c r="C27" s="9" t="n">
        <v>-7.1</v>
      </c>
      <c r="D27" s="8" t="inlineStr">
        <is>
          <t>BE21</t>
        </is>
      </c>
      <c r="E27" s="8" t="inlineStr">
        <is>
          <t>ontbreekt</t>
        </is>
      </c>
      <c r="F27" s="8" t="inlineStr"/>
    </row>
    <row r="28">
      <c r="A28" s="8" t="inlineStr">
        <is>
          <t>2026-07-28</t>
        </is>
      </c>
      <c r="B28" s="8" t="inlineStr">
        <is>
          <t xml:space="preserve">Plus Gent BE9000 Gent Betaling met KBC-Debetkaart </t>
        </is>
      </c>
      <c r="C28" s="9" t="n">
        <v>-47.1</v>
      </c>
      <c r="D28" s="8" t="inlineStr">
        <is>
          <t>BE21</t>
        </is>
      </c>
      <c r="E28" s="8" t="inlineStr">
        <is>
          <t>ontbreekt</t>
        </is>
      </c>
      <c r="F28" s="8" t="inlineStr"/>
    </row>
    <row r="29">
      <c r="A29" s="8" t="inlineStr">
        <is>
          <t>2026-08-01</t>
        </is>
      </c>
      <c r="B29" s="8" t="inlineStr">
        <is>
          <t>Google ADS4790542578</t>
        </is>
      </c>
      <c r="C29" s="9" t="n">
        <v>-198.56</v>
      </c>
      <c r="D29" s="8" t="inlineStr">
        <is>
          <t>EU</t>
        </is>
      </c>
      <c r="E29" s="8" t="inlineStr">
        <is>
          <t>ontbreekt</t>
        </is>
      </c>
      <c r="F29" s="8" t="inlineStr"/>
    </row>
    <row r="30">
      <c r="A30" s="8" t="inlineStr">
        <is>
          <t>2026-08-02</t>
        </is>
      </c>
      <c r="B30" s="8" t="inlineStr">
        <is>
          <t>bpost parcel</t>
        </is>
      </c>
      <c r="C30" s="9" t="n">
        <v>-7.85</v>
      </c>
      <c r="D30" s="8" t="inlineStr">
        <is>
          <t>BE21</t>
        </is>
      </c>
      <c r="E30" s="8" t="inlineStr">
        <is>
          <t>ontbreekt</t>
        </is>
      </c>
      <c r="F30" s="8" t="inlineStr"/>
    </row>
    <row r="31">
      <c r="A31" s="8" t="inlineStr">
        <is>
          <t>2026-08-02</t>
        </is>
      </c>
      <c r="B31" s="8" t="inlineStr">
        <is>
          <t>GOOGLE*WORKSPACE SMART IED02 R296 CC GOOGLE.COM Be</t>
        </is>
      </c>
      <c r="C31" s="9" t="n">
        <v>-75.90000000000001</v>
      </c>
      <c r="D31" s="8" t="inlineStr">
        <is>
          <t>EU</t>
        </is>
      </c>
      <c r="E31" s="8" t="inlineStr">
        <is>
          <t>ontbreekt</t>
        </is>
      </c>
      <c r="F31" s="8" t="inlineStr"/>
    </row>
    <row r="32">
      <c r="A32" s="8" t="inlineStr">
        <is>
          <t>2026-08-03</t>
        </is>
      </c>
      <c r="B32" s="8" t="inlineStr">
        <is>
          <t>Yuki Works NV via Mollie</t>
        </is>
      </c>
      <c r="C32" s="9" t="n">
        <v>-2.42</v>
      </c>
      <c r="D32" s="8" t="inlineStr">
        <is>
          <t>BE21</t>
        </is>
      </c>
      <c r="E32" s="8" t="inlineStr">
        <is>
          <t>ontbreekt</t>
        </is>
      </c>
      <c r="F32" s="8" t="inlineStr"/>
    </row>
    <row r="33">
      <c r="A33" s="8" t="inlineStr">
        <is>
          <t>2026-08-06</t>
        </is>
      </c>
      <c r="B33" s="8" t="inlineStr">
        <is>
          <t>SHOPIFY* 569354127</t>
        </is>
      </c>
      <c r="C33" s="9" t="n">
        <v>-174.81</v>
      </c>
      <c r="D33" s="8" t="inlineStr">
        <is>
          <t>EU</t>
        </is>
      </c>
      <c r="E33" s="8" t="inlineStr">
        <is>
          <t>ontbreekt</t>
        </is>
      </c>
      <c r="F33" s="8" t="inlineStr"/>
    </row>
    <row r="34">
      <c r="A34" s="8" t="inlineStr">
        <is>
          <t>2026-08-08</t>
        </is>
      </c>
      <c r="B34" s="8" t="inlineStr">
        <is>
          <t>Company Pro plan fee</t>
        </is>
      </c>
      <c r="C34" s="9" t="n">
        <v>-35</v>
      </c>
      <c r="D34" s="8" t="inlineStr">
        <is>
          <t>GEEN</t>
        </is>
      </c>
      <c r="E34" s="8" t="inlineStr">
        <is>
          <t>ontbreekt</t>
        </is>
      </c>
      <c r="F34" s="8" t="inlineStr"/>
    </row>
    <row r="35">
      <c r="A35" s="8" t="inlineStr">
        <is>
          <t>2026-08-09</t>
        </is>
      </c>
      <c r="B35" s="8" t="inlineStr">
        <is>
          <t>Action 2009 BE8560 Wevelgem Betaling met Apple Pay</t>
        </is>
      </c>
      <c r="C35" s="9" t="n">
        <v>-10.02</v>
      </c>
      <c r="D35" s="8" t="inlineStr">
        <is>
          <t>BE21</t>
        </is>
      </c>
      <c r="E35" s="8" t="inlineStr">
        <is>
          <t>ontbreekt</t>
        </is>
      </c>
      <c r="F35" s="8" t="inlineStr"/>
    </row>
    <row r="36">
      <c r="A36" s="8" t="inlineStr">
        <is>
          <t>2026-08-10</t>
        </is>
      </c>
      <c r="B36" s="8" t="inlineStr">
        <is>
          <t>AMBULANTE ZELFSTANDIGEN VZW</t>
        </is>
      </c>
      <c r="C36" s="9" t="n">
        <v>-230</v>
      </c>
      <c r="D36" s="8" t="inlineStr">
        <is>
          <t>NAKIJKEN</t>
        </is>
      </c>
      <c r="E36" s="8" t="inlineStr">
        <is>
          <t>ontbreekt</t>
        </is>
      </c>
      <c r="F36" s="8" t="inlineStr"/>
    </row>
    <row r="37">
      <c r="A37" s="8" t="inlineStr">
        <is>
          <t>2026-08-10</t>
        </is>
      </c>
      <c r="B37" s="8" t="inlineStr">
        <is>
          <t xml:space="preserve">Hotel on Booking.com NL1017 CE AMSTERDAM Betaling </t>
        </is>
      </c>
      <c r="C37" s="9" t="n">
        <v>-94.25</v>
      </c>
      <c r="D37" s="8" t="inlineStr">
        <is>
          <t>GEEN</t>
        </is>
      </c>
      <c r="E37" s="8" t="inlineStr">
        <is>
          <t>ontbreekt</t>
        </is>
      </c>
      <c r="F37" s="8" t="inlineStr"/>
    </row>
    <row r="38">
      <c r="A38" s="8" t="inlineStr">
        <is>
          <t>2026-08-10</t>
        </is>
      </c>
      <c r="B38" s="8" t="inlineStr">
        <is>
          <t>AMBULANTE ZELFSTANDIGEN VZW</t>
        </is>
      </c>
      <c r="C38" s="9" t="n">
        <v>-230</v>
      </c>
      <c r="D38" s="8" t="inlineStr">
        <is>
          <t>NAKIJKEN</t>
        </is>
      </c>
      <c r="E38" s="8" t="inlineStr">
        <is>
          <t>ontbreekt</t>
        </is>
      </c>
      <c r="F38" s="8" t="inlineStr"/>
    </row>
    <row r="39">
      <c r="A39" s="8" t="inlineStr">
        <is>
          <t>2026-08-10</t>
        </is>
      </c>
      <c r="B39" s="8" t="inlineStr">
        <is>
          <t>SHOPIFY* 571029665</t>
        </is>
      </c>
      <c r="C39" s="9" t="n">
        <v>-32</v>
      </c>
      <c r="D39" s="8" t="inlineStr">
        <is>
          <t>EU</t>
        </is>
      </c>
      <c r="E39" s="8" t="inlineStr">
        <is>
          <t>ontbreekt</t>
        </is>
      </c>
      <c r="F39" s="8" t="inlineStr"/>
    </row>
    <row r="40">
      <c r="A40" s="8" t="inlineStr">
        <is>
          <t>2026-08-13</t>
        </is>
      </c>
      <c r="B40" s="8" t="inlineStr">
        <is>
          <t>THE SANTIBAL BE8700 TIELT Betaling met KBC-Debetka</t>
        </is>
      </c>
      <c r="C40" s="9" t="n">
        <v>-27</v>
      </c>
      <c r="D40" s="8" t="inlineStr">
        <is>
          <t>BE21NA</t>
        </is>
      </c>
      <c r="E40" s="8" t="inlineStr">
        <is>
          <t>ontbreekt</t>
        </is>
      </c>
      <c r="F40" s="8" t="inlineStr"/>
    </row>
    <row r="41">
      <c r="A41" s="8" t="inlineStr">
        <is>
          <t>2026-08-16</t>
        </is>
      </c>
      <c r="B41" s="8" t="inlineStr">
        <is>
          <t>bpost parcel</t>
        </is>
      </c>
      <c r="C41" s="9" t="n">
        <v>-5.4</v>
      </c>
      <c r="D41" s="8" t="inlineStr">
        <is>
          <t>BE21</t>
        </is>
      </c>
      <c r="E41" s="8" t="inlineStr">
        <is>
          <t>ontbreekt</t>
        </is>
      </c>
      <c r="F41" s="8" t="inlineStr"/>
    </row>
    <row r="42">
      <c r="A42" s="8" t="inlineStr">
        <is>
          <t>2026-08-18</t>
        </is>
      </c>
      <c r="B42" s="8" t="inlineStr">
        <is>
          <t xml:space="preserve">NENUPHAR BE9051 AFSNEE Betaling met Apple Pay via </t>
        </is>
      </c>
      <c r="C42" s="9" t="n">
        <v>-249</v>
      </c>
      <c r="D42" s="8" t="inlineStr">
        <is>
          <t>BE21NA</t>
        </is>
      </c>
      <c r="E42" s="8" t="inlineStr">
        <is>
          <t>ontbreekt</t>
        </is>
      </c>
      <c r="F42" s="8" t="inlineStr"/>
    </row>
    <row r="43">
      <c r="A43" s="8" t="inlineStr">
        <is>
          <t>2026-08-19</t>
        </is>
      </c>
      <c r="B43" s="8" t="inlineStr">
        <is>
          <t>HIGGSFIELD INC. US94105 SAN FRANCISCO Betaling met</t>
        </is>
      </c>
      <c r="C43" s="9" t="n">
        <v>-72</v>
      </c>
      <c r="D43" s="8" t="inlineStr">
        <is>
          <t>NONEU</t>
        </is>
      </c>
      <c r="E43" s="8" t="inlineStr">
        <is>
          <t>ontbreekt</t>
        </is>
      </c>
      <c r="F43" s="8" t="inlineStr"/>
    </row>
    <row r="44">
      <c r="A44" s="8" t="inlineStr">
        <is>
          <t>2026-08-19</t>
        </is>
      </c>
      <c r="B44" s="8" t="inlineStr">
        <is>
          <t>Findajob bv</t>
        </is>
      </c>
      <c r="C44" s="9" t="n">
        <v>-94.72</v>
      </c>
      <c r="D44" s="8" t="inlineStr">
        <is>
          <t>BE21</t>
        </is>
      </c>
      <c r="E44" s="8" t="inlineStr">
        <is>
          <t>ontbreekt</t>
        </is>
      </c>
      <c r="F44" s="8" t="inlineStr"/>
    </row>
    <row r="45">
      <c r="A45" s="8" t="inlineStr">
        <is>
          <t>2026-08-19</t>
        </is>
      </c>
      <c r="B45" s="8" t="inlineStr">
        <is>
          <t>SHOPIFY* 576277386</t>
        </is>
      </c>
      <c r="C45" s="9" t="n">
        <v>-12.27</v>
      </c>
      <c r="D45" s="8" t="inlineStr">
        <is>
          <t>EU</t>
        </is>
      </c>
      <c r="E45" s="8" t="inlineStr">
        <is>
          <t>ontbreekt</t>
        </is>
      </c>
      <c r="F45" s="8" t="inlineStr"/>
    </row>
    <row r="46">
      <c r="A46" s="8" t="inlineStr">
        <is>
          <t>2026-08-25</t>
        </is>
      </c>
      <c r="B46" s="8" t="inlineStr">
        <is>
          <t>Findajob bv</t>
        </is>
      </c>
      <c r="C46" s="9" t="n">
        <v>-248.35</v>
      </c>
      <c r="D46" s="8" t="inlineStr">
        <is>
          <t>BE21</t>
        </is>
      </c>
      <c r="E46" s="8" t="inlineStr">
        <is>
          <t>ontbreekt</t>
        </is>
      </c>
      <c r="F46" s="8" t="inlineStr"/>
    </row>
    <row r="47">
      <c r="A47" s="8" t="inlineStr">
        <is>
          <t>2026-08-25</t>
        </is>
      </c>
      <c r="B47" s="8" t="inlineStr">
        <is>
          <t>Widem Logistics NV</t>
        </is>
      </c>
      <c r="C47" s="9" t="n">
        <v>-1783.71</v>
      </c>
      <c r="D47" s="8" t="inlineStr">
        <is>
          <t>BE21</t>
        </is>
      </c>
      <c r="E47" s="8" t="inlineStr">
        <is>
          <t>ontbreekt</t>
        </is>
      </c>
      <c r="F47" s="8" t="inlineStr"/>
    </row>
    <row r="48">
      <c r="A48" s="8" t="inlineStr">
        <is>
          <t>2026-08-26</t>
        </is>
      </c>
      <c r="B48" s="8" t="inlineStr">
        <is>
          <t>KBC Verzekeringen</t>
        </is>
      </c>
      <c r="C48" s="9" t="n">
        <v>-18.47</v>
      </c>
      <c r="D48" s="8" t="inlineStr">
        <is>
          <t>GEEN</t>
        </is>
      </c>
      <c r="E48" s="8" t="inlineStr">
        <is>
          <t>ontbreekt</t>
        </is>
      </c>
      <c r="F48" s="8" t="inlineStr"/>
    </row>
    <row r="49">
      <c r="A49" s="8" t="inlineStr">
        <is>
          <t>2026-09-01</t>
        </is>
      </c>
      <c r="B49" s="8" t="inlineStr">
        <is>
          <t>GOOGLE*WORKSPACE SMART IED02 R296 CC GOOGLE.COM Be</t>
        </is>
      </c>
      <c r="C49" s="9" t="n">
        <v>-75.90000000000001</v>
      </c>
      <c r="D49" s="8" t="inlineStr">
        <is>
          <t>EU</t>
        </is>
      </c>
      <c r="E49" s="8" t="inlineStr">
        <is>
          <t>ontbreekt</t>
        </is>
      </c>
      <c r="F49" s="8" t="inlineStr"/>
    </row>
    <row r="50">
      <c r="A50" s="8" t="inlineStr">
        <is>
          <t>2026-09-01</t>
        </is>
      </c>
      <c r="B50" s="8" t="inlineStr">
        <is>
          <t>Yuki Works NV via Mollie</t>
        </is>
      </c>
      <c r="C50" s="9" t="n">
        <v>-2.42</v>
      </c>
      <c r="D50" s="8" t="inlineStr">
        <is>
          <t>BE21</t>
        </is>
      </c>
      <c r="E50" s="8" t="inlineStr">
        <is>
          <t>ontbreekt</t>
        </is>
      </c>
      <c r="F50" s="8" t="inlineStr"/>
    </row>
    <row r="51">
      <c r="A51" s="8" t="inlineStr">
        <is>
          <t>2026-09-01</t>
        </is>
      </c>
      <c r="B51" s="8" t="inlineStr">
        <is>
          <t>METAPAY*MV4B</t>
        </is>
      </c>
      <c r="C51" s="9" t="n">
        <v>-22.29</v>
      </c>
      <c r="D51" s="8" t="inlineStr">
        <is>
          <t>EU</t>
        </is>
      </c>
      <c r="E51" s="8" t="inlineStr">
        <is>
          <t>ontbreekt</t>
        </is>
      </c>
      <c r="F51" s="8" t="inlineStr"/>
    </row>
    <row r="52">
      <c r="A52" s="8" t="inlineStr">
        <is>
          <t>2026-09-02</t>
        </is>
      </c>
      <c r="B52" s="8" t="inlineStr">
        <is>
          <t>Second part order Furvac 750 pcs</t>
        </is>
      </c>
      <c r="C52" s="9" t="n">
        <v>-8637.91</v>
      </c>
      <c r="D52" s="8" t="inlineStr">
        <is>
          <t>INVOER</t>
        </is>
      </c>
      <c r="E52" s="8" t="inlineStr">
        <is>
          <t>ontbreekt</t>
        </is>
      </c>
      <c r="F52" s="8" t="inlineStr"/>
    </row>
    <row r="53">
      <c r="A53" s="8" t="inlineStr">
        <is>
          <t>2026-09-08</t>
        </is>
      </c>
      <c r="B53" s="8" t="inlineStr">
        <is>
          <t>Company Pro plan fee</t>
        </is>
      </c>
      <c r="C53" s="9" t="n">
        <v>-35</v>
      </c>
      <c r="D53" s="8" t="inlineStr">
        <is>
          <t>GEEN</t>
        </is>
      </c>
      <c r="E53" s="8" t="inlineStr">
        <is>
          <t>ontbreekt</t>
        </is>
      </c>
      <c r="F53" s="8" t="inlineStr"/>
    </row>
    <row r="54">
      <c r="A54" s="8" t="inlineStr">
        <is>
          <t>2026-09-08</t>
        </is>
      </c>
      <c r="B54" s="8" t="inlineStr">
        <is>
          <t>WIDEM LOGISTICS NV</t>
        </is>
      </c>
      <c r="C54" s="9" t="n">
        <v>-2361.28</v>
      </c>
      <c r="D54" s="8" t="inlineStr">
        <is>
          <t>BE21</t>
        </is>
      </c>
      <c r="E54" s="8" t="inlineStr">
        <is>
          <t>ontbreekt</t>
        </is>
      </c>
      <c r="F54" s="8" t="inlineStr"/>
    </row>
    <row r="55">
      <c r="A55" s="8" t="inlineStr">
        <is>
          <t>2026-09-08</t>
        </is>
      </c>
      <c r="B55" s="8" t="inlineStr">
        <is>
          <t>Findajob bv</t>
        </is>
      </c>
      <c r="C55" s="9" t="n">
        <v>-472.21</v>
      </c>
      <c r="D55" s="8" t="inlineStr">
        <is>
          <t>BE21</t>
        </is>
      </c>
      <c r="E55" s="8" t="inlineStr">
        <is>
          <t>ontbreekt</t>
        </is>
      </c>
      <c r="F55" s="8" t="inlineStr"/>
    </row>
    <row r="56">
      <c r="A56" s="8" t="inlineStr">
        <is>
          <t>2026-09-08</t>
        </is>
      </c>
      <c r="B56" s="8" t="inlineStr">
        <is>
          <t>Widem Logistics NV</t>
        </is>
      </c>
      <c r="C56" s="9" t="n">
        <v>-261.03</v>
      </c>
      <c r="D56" s="8" t="inlineStr">
        <is>
          <t>BE21</t>
        </is>
      </c>
      <c r="E56" s="8" t="inlineStr">
        <is>
          <t>ontbreekt</t>
        </is>
      </c>
      <c r="F56" s="8" t="inlineStr"/>
    </row>
    <row r="57">
      <c r="A57" s="8" t="inlineStr">
        <is>
          <t>2026-09-08</t>
        </is>
      </c>
      <c r="B57" s="8" t="inlineStr">
        <is>
          <t>Widem Logistics NV</t>
        </is>
      </c>
      <c r="C57" s="9" t="n">
        <v>-364.57</v>
      </c>
      <c r="D57" s="8" t="inlineStr">
        <is>
          <t>BE21</t>
        </is>
      </c>
      <c r="E57" s="8" t="inlineStr">
        <is>
          <t>ontbreekt</t>
        </is>
      </c>
      <c r="F57" s="8" t="inlineStr"/>
    </row>
    <row r="58">
      <c r="A58" s="8" t="inlineStr">
        <is>
          <t>2026-09-09</t>
        </is>
      </c>
      <c r="B58" s="8" t="inlineStr">
        <is>
          <t>SHOPIFY* 586058249</t>
        </is>
      </c>
      <c r="C58" s="9" t="n">
        <v>-136.02</v>
      </c>
      <c r="D58" s="8" t="inlineStr">
        <is>
          <t>EU</t>
        </is>
      </c>
      <c r="E58" s="8" t="inlineStr">
        <is>
          <t>ontbreekt</t>
        </is>
      </c>
      <c r="F58" s="8" t="inlineStr"/>
    </row>
    <row r="59">
      <c r="A59" s="8" t="inlineStr">
        <is>
          <t>2026-09-13</t>
        </is>
      </c>
      <c r="B59" s="8" t="inlineStr">
        <is>
          <t>Haddok BE9000 Gent, Belg Betaling met KBC-Debetkaa</t>
        </is>
      </c>
      <c r="C59" s="9" t="n">
        <v>-121.5</v>
      </c>
      <c r="D59" s="8" t="inlineStr">
        <is>
          <t>BE21NA</t>
        </is>
      </c>
      <c r="E59" s="8" t="inlineStr">
        <is>
          <t>ontbreekt</t>
        </is>
      </c>
      <c r="F59" s="8" t="inlineStr"/>
    </row>
    <row r="60">
      <c r="A60" s="8" t="inlineStr">
        <is>
          <t>2026-09-20</t>
        </is>
      </c>
      <c r="B60" s="8" t="inlineStr">
        <is>
          <t xml:space="preserve">PAY*PATRON BE9000 GENT Betaling met Apple Pay via </t>
        </is>
      </c>
      <c r="C60" s="9" t="n">
        <v>-8.1</v>
      </c>
      <c r="D60" s="8" t="inlineStr">
        <is>
          <t>BE21NA</t>
        </is>
      </c>
      <c r="E60" s="8" t="inlineStr">
        <is>
          <t>ontbreekt</t>
        </is>
      </c>
      <c r="F60" s="8" t="inlineStr"/>
    </row>
    <row r="61">
      <c r="A61" s="8" t="inlineStr">
        <is>
          <t>2026-09-20</t>
        </is>
      </c>
      <c r="B61" s="8" t="inlineStr">
        <is>
          <t>POM-OostV Bedrijven BE9000 Gent Betaling met KBC-D</t>
        </is>
      </c>
      <c r="C61" s="9" t="n">
        <v>-148</v>
      </c>
      <c r="D61" s="8" t="inlineStr">
        <is>
          <t>NAKIJKEN</t>
        </is>
      </c>
      <c r="E61" s="8" t="inlineStr">
        <is>
          <t>ontbreekt</t>
        </is>
      </c>
      <c r="F61" s="8" t="inlineStr"/>
    </row>
    <row r="62">
      <c r="A62" s="8" t="inlineStr">
        <is>
          <t>2026-09-20</t>
        </is>
      </c>
      <c r="B62" s="8" t="inlineStr">
        <is>
          <t>HIGGSFIELD INC. US94105 SAN FRANCISCO Betaling met</t>
        </is>
      </c>
      <c r="C62" s="9" t="n">
        <v>-72</v>
      </c>
      <c r="D62" s="8" t="inlineStr">
        <is>
          <t>NONEU</t>
        </is>
      </c>
      <c r="E62" s="8" t="inlineStr">
        <is>
          <t>ontbreekt</t>
        </is>
      </c>
      <c r="F62" s="8" t="inlineStr"/>
    </row>
    <row r="63">
      <c r="A63" s="8" t="inlineStr">
        <is>
          <t>2026-09-27</t>
        </is>
      </c>
      <c r="B63" s="8" t="inlineStr">
        <is>
          <t>KBC Verzekeringen</t>
        </is>
      </c>
      <c r="C63" s="9" t="n">
        <v>-18.47</v>
      </c>
      <c r="D63" s="8" t="inlineStr">
        <is>
          <t>GEEN</t>
        </is>
      </c>
      <c r="E63" s="8" t="inlineStr">
        <is>
          <t>ontbreekt</t>
        </is>
      </c>
      <c r="F63" s="8" t="inlineStr"/>
    </row>
    <row r="64">
      <c r="A64" s="8" t="inlineStr">
        <is>
          <t>2026-09-28</t>
        </is>
      </c>
      <c r="B64" s="8" t="inlineStr">
        <is>
          <t>Findajob bv</t>
        </is>
      </c>
      <c r="C64" s="9" t="n">
        <v>-218.55</v>
      </c>
      <c r="D64" s="8" t="inlineStr">
        <is>
          <t>BE21</t>
        </is>
      </c>
      <c r="E64" s="8" t="inlineStr">
        <is>
          <t>ontbreekt</t>
        </is>
      </c>
      <c r="F64" s="8" t="inlineStr"/>
    </row>
    <row r="65">
      <c r="A65" s="8" t="inlineStr">
        <is>
          <t>2026-09-28</t>
        </is>
      </c>
      <c r="B65" s="8" t="inlineStr">
        <is>
          <t>Findajob bv</t>
        </is>
      </c>
      <c r="C65" s="9" t="n">
        <v>-437.1</v>
      </c>
      <c r="D65" s="8" t="inlineStr">
        <is>
          <t>BE21</t>
        </is>
      </c>
      <c r="E65" s="8" t="inlineStr">
        <is>
          <t>ontbreekt</t>
        </is>
      </c>
      <c r="F65" s="8" t="inlineStr"/>
    </row>
    <row r="66">
      <c r="A66" s="8" t="inlineStr">
        <is>
          <t>2026-09-28</t>
        </is>
      </c>
      <c r="B66" s="8" t="inlineStr">
        <is>
          <t>Pro-Count</t>
        </is>
      </c>
      <c r="C66" s="9" t="n">
        <v>-242</v>
      </c>
      <c r="D66" s="8" t="inlineStr">
        <is>
          <t>BE21</t>
        </is>
      </c>
      <c r="E66" s="8" t="inlineStr">
        <is>
          <t>ontbreekt</t>
        </is>
      </c>
      <c r="F66" s="8" t="inlineStr"/>
    </row>
    <row r="67">
      <c r="A67" s="8" t="inlineStr">
        <is>
          <t>2026-09-28</t>
        </is>
      </c>
      <c r="B67" s="8" t="inlineStr">
        <is>
          <t>bpost</t>
        </is>
      </c>
      <c r="C67" s="9" t="n">
        <v>-6.78</v>
      </c>
      <c r="D67" s="8" t="inlineStr">
        <is>
          <t>BE21</t>
        </is>
      </c>
      <c r="E67" s="8" t="inlineStr">
        <is>
          <t>ontbreekt</t>
        </is>
      </c>
      <c r="F67" s="8" t="inlineStr"/>
    </row>
    <row r="68">
      <c r="A68" s="8" t="inlineStr">
        <is>
          <t>2026-09-28</t>
        </is>
      </c>
      <c r="B68" s="8" t="inlineStr">
        <is>
          <t>Findajob bv</t>
        </is>
      </c>
      <c r="C68" s="9" t="n">
        <v>-238.42</v>
      </c>
      <c r="D68" s="8" t="inlineStr">
        <is>
          <t>BE21</t>
        </is>
      </c>
      <c r="E68" s="8" t="inlineStr">
        <is>
          <t>ontbreekt</t>
        </is>
      </c>
      <c r="F68" s="8" t="inlineStr"/>
    </row>
    <row r="69">
      <c r="A69" s="8" t="inlineStr">
        <is>
          <t>2026-07-01</t>
        </is>
      </c>
      <c r="B69" s="8" t="inlineStr">
        <is>
          <t xml:space="preserve">FACEBK *X87X6SV7A2 IED04 X2K5 Dublin Betaling met </t>
        </is>
      </c>
      <c r="C69" s="9" t="n">
        <v>-800</v>
      </c>
      <c r="D69" s="8" t="inlineStr">
        <is>
          <t>EU</t>
        </is>
      </c>
      <c r="E69" s="8" t="inlineStr">
        <is>
          <t>gekoppeld</t>
        </is>
      </c>
      <c r="F69" s="8" t="inlineStr">
        <is>
          <t>Meta-kwitantie 27253725940979469-27253726004312796 (2026-07-01) – in Lucy/Yuki</t>
        </is>
      </c>
    </row>
    <row r="70">
      <c r="A70" s="8" t="inlineStr">
        <is>
          <t>2026-07-06</t>
        </is>
      </c>
      <c r="B70" s="8" t="inlineStr">
        <is>
          <t xml:space="preserve">FACEBK *W9EF8UH8A2 IED04 X2K5 Dublin Betaling met </t>
        </is>
      </c>
      <c r="C70" s="9" t="n">
        <v>-800</v>
      </c>
      <c r="D70" s="8" t="inlineStr">
        <is>
          <t>EU</t>
        </is>
      </c>
      <c r="E70" s="8" t="inlineStr">
        <is>
          <t>gekoppeld</t>
        </is>
      </c>
      <c r="F70" s="8" t="inlineStr">
        <is>
          <t>Meta-kwitantie 27355189934166399-27530401703311892 (2026-07-06) – in Lucy/Yuki</t>
        </is>
      </c>
    </row>
    <row r="71">
      <c r="A71" s="8" t="inlineStr">
        <is>
          <t>2026-07-08</t>
        </is>
      </c>
      <c r="B71" s="8" t="inlineStr">
        <is>
          <t xml:space="preserve">FACEBK *RQQRHTR7A2 IED04 X2K5 Dublin Betaling met </t>
        </is>
      </c>
      <c r="C71" s="9" t="n">
        <v>-278.57</v>
      </c>
      <c r="D71" s="8" t="inlineStr">
        <is>
          <t>EU</t>
        </is>
      </c>
      <c r="E71" s="8" t="inlineStr">
        <is>
          <t>gekoppeld</t>
        </is>
      </c>
      <c r="F71" s="8" t="inlineStr">
        <is>
          <t>Meta-kwitantie 27328965953455467-27376759048676154 (2026-07-08) – in Lucy/Yuki</t>
        </is>
      </c>
    </row>
    <row r="72">
      <c r="A72" s="8" t="inlineStr">
        <is>
          <t>2026-07-08</t>
        </is>
      </c>
      <c r="B72" s="8" t="inlineStr">
        <is>
          <t>HOLO AI</t>
        </is>
      </c>
      <c r="C72" s="9" t="n">
        <v>-41.98</v>
      </c>
      <c r="D72" s="8" t="inlineStr">
        <is>
          <t>EU</t>
        </is>
      </c>
      <c r="E72" s="8" t="inlineStr">
        <is>
          <t>gekoppeld</t>
        </is>
      </c>
      <c r="F72" s="8" t="inlineStr">
        <is>
          <t>Holo AI HOLO-202607-E80C0</t>
        </is>
      </c>
    </row>
    <row r="73">
      <c r="A73" s="8" t="inlineStr">
        <is>
          <t>2026-07-10</t>
        </is>
      </c>
      <c r="B73" s="8" t="inlineStr">
        <is>
          <t>KLAVIYO INC. SOFTWARE</t>
        </is>
      </c>
      <c r="C73" s="9" t="n">
        <v>-53.5</v>
      </c>
      <c r="D73" s="8" t="inlineStr">
        <is>
          <t>NONEU</t>
        </is>
      </c>
      <c r="E73" s="8" t="inlineStr">
        <is>
          <t>gekoppeld</t>
        </is>
      </c>
      <c r="F73" s="8" t="inlineStr">
        <is>
          <t>Klaviyo T9T7QHZO-0012 (mail 2026-07-10)</t>
        </is>
      </c>
    </row>
    <row r="74">
      <c r="A74" s="8" t="inlineStr">
        <is>
          <t>2026-07-13</t>
        </is>
      </c>
      <c r="B74" s="8" t="inlineStr">
        <is>
          <t xml:space="preserve">FACEBK *AF4S7TM7A2 IED04 X2K5 Dublin Betaling met </t>
        </is>
      </c>
      <c r="C74" s="9" t="n">
        <v>-800</v>
      </c>
      <c r="D74" s="8" t="inlineStr">
        <is>
          <t>EU</t>
        </is>
      </c>
      <c r="E74" s="8" t="inlineStr">
        <is>
          <t>gekoppeld</t>
        </is>
      </c>
      <c r="F74" s="8" t="inlineStr">
        <is>
          <t>Meta-kwitantie 27593360840349303-27416226398062750 (2026-07-13) – in Lucy/Yuki</t>
        </is>
      </c>
    </row>
    <row r="75">
      <c r="A75" s="8" t="inlineStr">
        <is>
          <t>2026-07-19</t>
        </is>
      </c>
      <c r="B75" s="8" t="inlineStr">
        <is>
          <t xml:space="preserve">FACEBK *G99QSTM8A2 IED04 X2K5 Dublin Betaling met </t>
        </is>
      </c>
      <c r="C75" s="9" t="n">
        <v>-800</v>
      </c>
      <c r="D75" s="8" t="inlineStr">
        <is>
          <t>EU</t>
        </is>
      </c>
      <c r="E75" s="8" t="inlineStr">
        <is>
          <t>gekoppeld</t>
        </is>
      </c>
      <c r="F75" s="8" t="inlineStr">
        <is>
          <t>Meta-kwitantie 27669559296062797-27482434021441995 (2026-07-19) – in Lucy/Yuki</t>
        </is>
      </c>
    </row>
    <row r="76">
      <c r="A76" s="8" t="inlineStr">
        <is>
          <t>2026-07-20</t>
        </is>
      </c>
      <c r="B76" s="8" t="inlineStr">
        <is>
          <t>SP PACKAGINGDISCOUNTER</t>
        </is>
      </c>
      <c r="C76" s="9" t="n">
        <v>-665</v>
      </c>
      <c r="D76" s="8" t="inlineStr">
        <is>
          <t>NAKIJKEN</t>
        </is>
      </c>
      <c r="E76" s="8" t="inlineStr">
        <is>
          <t>gekoppeld</t>
        </is>
      </c>
      <c r="F76" s="8" t="inlineStr">
        <is>
          <t>Packaging Discounter 28109678 (mail 2026-07-20)</t>
        </is>
      </c>
    </row>
    <row r="77">
      <c r="A77" s="8" t="inlineStr">
        <is>
          <t>2026-07-26</t>
        </is>
      </c>
      <c r="B77" s="8" t="inlineStr">
        <is>
          <t xml:space="preserve">FACEBK *25EEEVR7A2 IED04 X2K5 Dublin Betaling met </t>
        </is>
      </c>
      <c r="C77" s="9" t="n">
        <v>-800</v>
      </c>
      <c r="D77" s="8" t="inlineStr">
        <is>
          <t>EU</t>
        </is>
      </c>
      <c r="E77" s="8" t="inlineStr">
        <is>
          <t>gekoppeld</t>
        </is>
      </c>
      <c r="F77" s="8" t="inlineStr">
        <is>
          <t>Meta-kwitantie 27560767960275267-27538964052455655 (2026-07-25) – in Lucy/Yuki</t>
        </is>
      </c>
    </row>
    <row r="78">
      <c r="A78" s="8" t="inlineStr">
        <is>
          <t>2026-07-26</t>
        </is>
      </c>
      <c r="B78" s="8" t="inlineStr">
        <is>
          <t xml:space="preserve">Shopify Hardware Store IED04 Xn32 Dublin Betaling </t>
        </is>
      </c>
      <c r="C78" s="9" t="n">
        <v>-59</v>
      </c>
      <c r="D78" s="8" t="inlineStr">
        <is>
          <t>BE21</t>
        </is>
      </c>
      <c r="E78" s="8" t="inlineStr">
        <is>
          <t>gekoppeld</t>
        </is>
      </c>
      <c r="F78" s="8" t="inlineStr">
        <is>
          <t>Shopify Hardware 277778-HWS (mail 2026-07-27)</t>
        </is>
      </c>
    </row>
    <row r="79">
      <c r="A79" s="8" t="inlineStr">
        <is>
          <t>2026-07-30</t>
        </is>
      </c>
      <c r="B79" s="8" t="inlineStr">
        <is>
          <t xml:space="preserve">FACEBK *Y2RWNU98A2 IED04 X2K5 Dublin Betaling met </t>
        </is>
      </c>
      <c r="C79" s="9" t="n">
        <v>-800</v>
      </c>
      <c r="D79" s="8" t="inlineStr">
        <is>
          <t>EU</t>
        </is>
      </c>
      <c r="E79" s="8" t="inlineStr">
        <is>
          <t>gekoppeld</t>
        </is>
      </c>
      <c r="F79" s="8" t="inlineStr">
        <is>
          <t>Meta-kwitantie 27610339325318122-27705458205806234 (2026-07-29) – in Lucy/Yuki</t>
        </is>
      </c>
    </row>
    <row r="80">
      <c r="A80" s="8" t="inlineStr">
        <is>
          <t>2026-08-02</t>
        </is>
      </c>
      <c r="B80" s="8" t="inlineStr">
        <is>
          <t xml:space="preserve">FACEBK *CTEE3XH8A2 IED04 X2K5 Dublin Betaling met </t>
        </is>
      </c>
      <c r="C80" s="9" t="n">
        <v>-800</v>
      </c>
      <c r="D80" s="8" t="inlineStr">
        <is>
          <t>EU</t>
        </is>
      </c>
      <c r="E80" s="8" t="inlineStr">
        <is>
          <t>gekoppeld</t>
        </is>
      </c>
      <c r="F80" s="8" t="inlineStr">
        <is>
          <t>Meta-kwitantie 27848362231515836-27831764456508946 (2026-08-01) – in Lucy/Yuki</t>
        </is>
      </c>
    </row>
    <row r="81">
      <c r="A81" s="8" t="inlineStr">
        <is>
          <t>2026-08-04</t>
        </is>
      </c>
      <c r="B81" s="8" t="inlineStr">
        <is>
          <t xml:space="preserve">FACEBK *LWJTNVM7A2 IED04 X2K5 Dublin Betaling met </t>
        </is>
      </c>
      <c r="C81" s="9" t="n">
        <v>-800</v>
      </c>
      <c r="D81" s="8" t="inlineStr">
        <is>
          <t>EU</t>
        </is>
      </c>
      <c r="E81" s="8" t="inlineStr">
        <is>
          <t>gekoppeld</t>
        </is>
      </c>
      <c r="F81" s="8" t="inlineStr">
        <is>
          <t>Meta-kwitantie 27711775655174490-27869145762770808 (2026-08-04) – in Lucy/Yuki</t>
        </is>
      </c>
    </row>
    <row r="82">
      <c r="A82" s="8" t="inlineStr">
        <is>
          <t>2026-08-09</t>
        </is>
      </c>
      <c r="B82" s="8" t="inlineStr">
        <is>
          <t xml:space="preserve">FACEBK *XWUSXWR7A2 IED04 X2K5 Dublin Betaling met </t>
        </is>
      </c>
      <c r="C82" s="9" t="n">
        <v>-757.53</v>
      </c>
      <c r="D82" s="8" t="inlineStr">
        <is>
          <t>EU</t>
        </is>
      </c>
      <c r="E82" s="8" t="inlineStr">
        <is>
          <t>gekoppeld</t>
        </is>
      </c>
      <c r="F82" s="8" t="inlineStr">
        <is>
          <t>Meta-kwitantie 27916096561409061-27967802372905150 (2026-08-08) – in Lucy/Yuki</t>
        </is>
      </c>
    </row>
    <row r="83">
      <c r="A83" s="8" t="inlineStr">
        <is>
          <t>2026-08-10</t>
        </is>
      </c>
      <c r="B83" s="8" t="inlineStr">
        <is>
          <t xml:space="preserve">FACEBK *F7VQBWM8A2 IED04 X2K5 Dublin Betaling met </t>
        </is>
      </c>
      <c r="C83" s="9" t="n">
        <v>-800</v>
      </c>
      <c r="D83" s="8" t="inlineStr">
        <is>
          <t>EU</t>
        </is>
      </c>
      <c r="E83" s="8" t="inlineStr">
        <is>
          <t>gekoppeld</t>
        </is>
      </c>
      <c r="F83" s="8" t="inlineStr">
        <is>
          <t>Meta-kwitantie 28001385692880151-27949550744730309 (2026-08-10) – in Lucy/Yuki</t>
        </is>
      </c>
    </row>
    <row r="84">
      <c r="A84" s="8" t="inlineStr">
        <is>
          <t>2026-08-10</t>
        </is>
      </c>
      <c r="B84" s="8" t="inlineStr">
        <is>
          <t>KLAVIYO INC. SOFTWARE</t>
        </is>
      </c>
      <c r="C84" s="9" t="n">
        <v>-52.94</v>
      </c>
      <c r="D84" s="8" t="inlineStr">
        <is>
          <t>NONEU</t>
        </is>
      </c>
      <c r="E84" s="8" t="inlineStr">
        <is>
          <t>gekoppeld</t>
        </is>
      </c>
      <c r="F84" s="8" t="inlineStr">
        <is>
          <t>Klaviyo T9T7QHZO-0013 (mail 2026-08-10)</t>
        </is>
      </c>
    </row>
    <row r="85">
      <c r="A85" s="8" t="inlineStr">
        <is>
          <t>2026-08-11</t>
        </is>
      </c>
      <c r="B85" s="8" t="inlineStr">
        <is>
          <t>Drukbedrijf.nl NL1114AE Amsterdam Betaling met KBC</t>
        </is>
      </c>
      <c r="C85" s="9" t="n">
        <v>-174.28</v>
      </c>
      <c r="D85" s="8" t="inlineStr">
        <is>
          <t>NAKIJKEN</t>
        </is>
      </c>
      <c r="E85" s="8" t="inlineStr">
        <is>
          <t>gekoppeld</t>
        </is>
      </c>
      <c r="F85" s="8" t="inlineStr">
        <is>
          <t>Drukbedrijf D2611224 (mail 2026-08-12)</t>
        </is>
      </c>
    </row>
    <row r="86">
      <c r="A86" s="8" t="inlineStr">
        <is>
          <t>2026-08-14</t>
        </is>
      </c>
      <c r="B86" s="8" t="inlineStr">
        <is>
          <t>FACEBK *JHMLRWM8A2</t>
        </is>
      </c>
      <c r="C86" s="9" t="n">
        <v>-800</v>
      </c>
      <c r="D86" s="8" t="inlineStr">
        <is>
          <t>EU</t>
        </is>
      </c>
      <c r="E86" s="8" t="inlineStr">
        <is>
          <t>gekoppeld</t>
        </is>
      </c>
      <c r="F86" s="8" t="inlineStr">
        <is>
          <t>Meta-kwitantie 27840792075606180-27840792262272828 (2026-08-14) – in Lucy/Yuki</t>
        </is>
      </c>
    </row>
    <row r="87">
      <c r="A87" s="8" t="inlineStr">
        <is>
          <t>2026-08-17</t>
        </is>
      </c>
      <c r="B87" s="8" t="inlineStr">
        <is>
          <t xml:space="preserve">FACEBK *TK743YR7A2 IED04 X2K5 DUBLIN Betaling met </t>
        </is>
      </c>
      <c r="C87" s="9" t="n">
        <v>-800</v>
      </c>
      <c r="D87" s="8" t="inlineStr">
        <is>
          <t>EU</t>
        </is>
      </c>
      <c r="E87" s="8" t="inlineStr">
        <is>
          <t>gekoppeld</t>
        </is>
      </c>
      <c r="F87" s="8" t="inlineStr">
        <is>
          <t>Meta-kwitantie 28061581953527195-27855281750823885 (2026-08-17) – in Lucy/Yuki</t>
        </is>
      </c>
    </row>
    <row r="88">
      <c r="A88" s="8" t="inlineStr">
        <is>
          <t>2026-08-20</t>
        </is>
      </c>
      <c r="B88" s="8" t="inlineStr">
        <is>
          <t xml:space="preserve">FACEBK *32NABX98A2 IED04 X2K5 Dublin Betaling met </t>
        </is>
      </c>
      <c r="C88" s="9" t="n">
        <v>-800</v>
      </c>
      <c r="D88" s="8" t="inlineStr">
        <is>
          <t>EU</t>
        </is>
      </c>
      <c r="E88" s="8" t="inlineStr">
        <is>
          <t>gekoppeld</t>
        </is>
      </c>
      <c r="F88" s="8" t="inlineStr">
        <is>
          <t>Meta-kwitantie 28134158839602835-28081838734834842 (2026-08-20) – in Lucy/Yuki</t>
        </is>
      </c>
    </row>
    <row r="89">
      <c r="A89" s="8" t="inlineStr">
        <is>
          <t>2026-08-23</t>
        </is>
      </c>
      <c r="B89" s="8" t="inlineStr">
        <is>
          <t xml:space="preserve">FACEBK *5F9L8Y58A2 IED04 X2K5 Dublin Betaling met </t>
        </is>
      </c>
      <c r="C89" s="9" t="n">
        <v>-800</v>
      </c>
      <c r="D89" s="8" t="inlineStr">
        <is>
          <t>EU</t>
        </is>
      </c>
      <c r="E89" s="8" t="inlineStr">
        <is>
          <t>gekoppeld</t>
        </is>
      </c>
      <c r="F89" s="8" t="inlineStr">
        <is>
          <t>Meta-kwitantie 27978323681853020-27946942661657785 (2026-08-23) – in Lucy/Yuki</t>
        </is>
      </c>
    </row>
    <row r="90">
      <c r="A90" s="8" t="inlineStr">
        <is>
          <t>2026-08-25</t>
        </is>
      </c>
      <c r="B90" s="8" t="inlineStr">
        <is>
          <t>Advancemedia</t>
        </is>
      </c>
      <c r="C90" s="9" t="n">
        <v>-3650</v>
      </c>
      <c r="D90" s="8" t="inlineStr">
        <is>
          <t>EU</t>
        </is>
      </c>
      <c r="E90" s="8" t="inlineStr">
        <is>
          <t>gekoppeld</t>
        </is>
      </c>
      <c r="F90" s="8" t="inlineStr">
        <is>
          <t>Advance Media 2329 (mail 2026-08-21)</t>
        </is>
      </c>
    </row>
    <row r="91">
      <c r="A91" s="8" t="inlineStr">
        <is>
          <t>2026-08-26</t>
        </is>
      </c>
      <c r="B91" s="8" t="inlineStr">
        <is>
          <t xml:space="preserve">FACEBK *J93Z3Y98A2 IED04 X2K5 Dublin Betaling met </t>
        </is>
      </c>
      <c r="C91" s="9" t="n">
        <v>-800</v>
      </c>
      <c r="D91" s="8" t="inlineStr">
        <is>
          <t>EU</t>
        </is>
      </c>
      <c r="E91" s="8" t="inlineStr">
        <is>
          <t>gekoppeld</t>
        </is>
      </c>
      <c r="F91" s="8" t="inlineStr">
        <is>
          <t>Meta-kwitantie 28174602315558490-28023493624002692 (2026-08-26) – in Lucy/Yuki</t>
        </is>
      </c>
    </row>
    <row r="92">
      <c r="A92" s="8" t="inlineStr">
        <is>
          <t>2026-08-30</t>
        </is>
      </c>
      <c r="B92" s="8" t="inlineStr">
        <is>
          <t xml:space="preserve">FACEBK *QHUESYM7A2 IED04 X2K5 Dublin Betaling met </t>
        </is>
      </c>
      <c r="C92" s="9" t="n">
        <v>-800</v>
      </c>
      <c r="D92" s="8" t="inlineStr">
        <is>
          <t>EU</t>
        </is>
      </c>
      <c r="E92" s="8" t="inlineStr">
        <is>
          <t>gekoppeld</t>
        </is>
      </c>
      <c r="F92" s="8" t="inlineStr">
        <is>
          <t>Meta-kwitantie 28241109438907778-28269737452711639 (2026-08-30) – in Lucy/Yuki</t>
        </is>
      </c>
    </row>
    <row r="93">
      <c r="A93" s="8" t="inlineStr">
        <is>
          <t>2026-09-03</t>
        </is>
      </c>
      <c r="B93" s="8" t="inlineStr">
        <is>
          <t xml:space="preserve">FACEBK *7RKG93W7A4 IED04 X2K5 Dublin Betaling met </t>
        </is>
      </c>
      <c r="C93" s="9" t="n">
        <v>-800</v>
      </c>
      <c r="D93" s="8" t="inlineStr">
        <is>
          <t>EU</t>
        </is>
      </c>
      <c r="E93" s="8" t="inlineStr">
        <is>
          <t>gekoppeld</t>
        </is>
      </c>
      <c r="F93" s="8" t="inlineStr">
        <is>
          <t>Meta-kwitantie 28057913993893989-28264454399906607 (2026-09-02) – in Lucy/Yuki</t>
        </is>
      </c>
    </row>
    <row r="94">
      <c r="A94" s="8" t="inlineStr">
        <is>
          <t>2026-09-06</t>
        </is>
      </c>
      <c r="B94" s="8" t="inlineStr">
        <is>
          <t xml:space="preserve">FACEBK *45UMKZM8A2 IED04 X2K5 Dublin Betaling met </t>
        </is>
      </c>
      <c r="C94" s="9" t="n">
        <v>-800</v>
      </c>
      <c r="D94" s="8" t="inlineStr">
        <is>
          <t>EU</t>
        </is>
      </c>
      <c r="E94" s="8" t="inlineStr">
        <is>
          <t>gekoppeld</t>
        </is>
      </c>
      <c r="F94" s="8" t="inlineStr">
        <is>
          <t>Meta-kwitantie 28135330259485690-28135330349485681 (2026-09-05) – in Lucy/Yuki</t>
        </is>
      </c>
    </row>
    <row r="95">
      <c r="A95" s="8" t="inlineStr">
        <is>
          <t>2026-09-08</t>
        </is>
      </c>
      <c r="B95" s="8" t="inlineStr">
        <is>
          <t>Widem Logistics NV</t>
        </is>
      </c>
      <c r="C95" s="9" t="n">
        <v>-110.77</v>
      </c>
      <c r="D95" s="8" t="inlineStr">
        <is>
          <t>BE21</t>
        </is>
      </c>
      <c r="E95" s="8" t="inlineStr">
        <is>
          <t>gekoppeld</t>
        </is>
      </c>
      <c r="F95" s="8" t="inlineStr">
        <is>
          <t>Widem 26202844 (mail 2026-08-18)</t>
        </is>
      </c>
    </row>
    <row r="96">
      <c r="A96" s="8" t="inlineStr">
        <is>
          <t>2026-09-08</t>
        </is>
      </c>
      <c r="B96" s="8" t="inlineStr">
        <is>
          <t>Widem Logistics NV</t>
        </is>
      </c>
      <c r="C96" s="9" t="n">
        <v>-3135</v>
      </c>
      <c r="D96" s="8" t="inlineStr">
        <is>
          <t>BE21</t>
        </is>
      </c>
      <c r="E96" s="8" t="inlineStr">
        <is>
          <t>gekoppeld</t>
        </is>
      </c>
      <c r="F96" s="8" t="inlineStr">
        <is>
          <t>Widem 26012021 (mail 2026-07-07)</t>
        </is>
      </c>
    </row>
    <row r="97">
      <c r="A97" s="8" t="inlineStr">
        <is>
          <t>2026-09-08</t>
        </is>
      </c>
      <c r="B97" s="8" t="inlineStr">
        <is>
          <t xml:space="preserve">FACEBK *L3G8L3A8A4 IED04 X2K5 Dublin Betaling met </t>
        </is>
      </c>
      <c r="C97" s="9" t="n">
        <v>-555.08</v>
      </c>
      <c r="D97" s="8" t="inlineStr">
        <is>
          <t>EU</t>
        </is>
      </c>
      <c r="E97" s="8" t="inlineStr">
        <is>
          <t>gekoppeld</t>
        </is>
      </c>
      <c r="F97" s="8" t="inlineStr">
        <is>
          <t>Meta-kwitantie 28354522874233099-28372066432478744 (2026-09-08) – in Lucy/Yuki</t>
        </is>
      </c>
    </row>
    <row r="98">
      <c r="A98" s="8" t="inlineStr">
        <is>
          <t>2026-09-08</t>
        </is>
      </c>
      <c r="B98" s="8" t="inlineStr">
        <is>
          <t>HOLO AI</t>
        </is>
      </c>
      <c r="C98" s="9" t="n">
        <v>-41.33</v>
      </c>
      <c r="D98" s="8" t="inlineStr">
        <is>
          <t>EU</t>
        </is>
      </c>
      <c r="E98" s="8" t="inlineStr">
        <is>
          <t>gekoppeld</t>
        </is>
      </c>
      <c r="F98" s="8" t="inlineStr">
        <is>
          <t>Holo AI HOLO-202609-477F0</t>
        </is>
      </c>
    </row>
    <row r="99">
      <c r="A99" s="8" t="inlineStr">
        <is>
          <t>2026-09-10</t>
        </is>
      </c>
      <c r="B99" s="8" t="inlineStr">
        <is>
          <t xml:space="preserve">FACEBK *FZ5UX3A8A4 IED04 X2K5 DUBLIN Betaling met </t>
        </is>
      </c>
      <c r="C99" s="9" t="n">
        <v>-800</v>
      </c>
      <c r="D99" s="8" t="inlineStr">
        <is>
          <t>EU</t>
        </is>
      </c>
      <c r="E99" s="8" t="inlineStr">
        <is>
          <t>gekoppeld</t>
        </is>
      </c>
      <c r="F99" s="8" t="inlineStr">
        <is>
          <t>Meta-kwitantie 28388089664209746-28211277685224280 (2026-09-10) – in Lucy/Yuki</t>
        </is>
      </c>
    </row>
    <row r="100">
      <c r="A100" s="8" t="inlineStr">
        <is>
          <t>2026-09-10</t>
        </is>
      </c>
      <c r="B100" s="8" t="inlineStr">
        <is>
          <t>KLAVIYO INC. SOFTWARE</t>
        </is>
      </c>
      <c r="C100" s="9" t="n">
        <v>-61.21</v>
      </c>
      <c r="D100" s="8" t="inlineStr">
        <is>
          <t>NONEU</t>
        </is>
      </c>
      <c r="E100" s="8" t="inlineStr">
        <is>
          <t>gekoppeld</t>
        </is>
      </c>
      <c r="F100" s="8" t="inlineStr">
        <is>
          <t>Klaviyo T9T7QHZO-0014 (mail 2026-09-10)</t>
        </is>
      </c>
    </row>
    <row r="101">
      <c r="A101" s="8" t="inlineStr">
        <is>
          <t>2026-09-14</t>
        </is>
      </c>
      <c r="B101" s="8" t="inlineStr">
        <is>
          <t xml:space="preserve">FACEBK *EY2TK3N7A4 IED04 X2K5 DUBLIN Betaling met </t>
        </is>
      </c>
      <c r="C101" s="9" t="n">
        <v>-800</v>
      </c>
      <c r="D101" s="8" t="inlineStr">
        <is>
          <t>EU</t>
        </is>
      </c>
      <c r="E101" s="8" t="inlineStr">
        <is>
          <t>gekoppeld</t>
        </is>
      </c>
      <c r="F101" s="8" t="inlineStr">
        <is>
          <t>Meta-kwitantie 28254286180923430-28254286254256756 (2026-09-13) – in Lucy/Yuki</t>
        </is>
      </c>
    </row>
    <row r="102">
      <c r="A102" s="8" t="inlineStr">
        <is>
          <t>2026-09-17</t>
        </is>
      </c>
      <c r="B102" s="8" t="inlineStr">
        <is>
          <t xml:space="preserve">FACEBK *52WHD3S7A4 IED04 X2K5 DUBLIN Betaling met </t>
        </is>
      </c>
      <c r="C102" s="9" t="n">
        <v>-800</v>
      </c>
      <c r="D102" s="8" t="inlineStr">
        <is>
          <t>EU</t>
        </is>
      </c>
      <c r="E102" s="8" t="inlineStr">
        <is>
          <t>gekoppeld</t>
        </is>
      </c>
      <c r="F102" s="8" t="inlineStr">
        <is>
          <t>Meta-kwitantie 28488005980884780-28343182888700429 (2026-09-17) – in Lucy/Yuki</t>
        </is>
      </c>
    </row>
    <row r="103">
      <c r="A103" s="8" t="inlineStr">
        <is>
          <t>2026-09-20</t>
        </is>
      </c>
      <c r="B103" s="8" t="inlineStr">
        <is>
          <t xml:space="preserve">FACEBK *VRFKQ5W7A4 IED04 X2K5 DUBLIN Betaling met </t>
        </is>
      </c>
      <c r="C103" s="9" t="n">
        <v>-800</v>
      </c>
      <c r="D103" s="8" t="inlineStr">
        <is>
          <t>EU</t>
        </is>
      </c>
      <c r="E103" s="8" t="inlineStr">
        <is>
          <t>gekoppeld</t>
        </is>
      </c>
      <c r="F103" s="8" t="inlineStr">
        <is>
          <t>Meta-kwitantie 28548539494831435-28333791032972949 (2026-09-20) – in Lucy/Yuki</t>
        </is>
      </c>
    </row>
    <row r="104">
      <c r="A104" s="8" t="inlineStr">
        <is>
          <t>2026-09-24</t>
        </is>
      </c>
      <c r="B104" s="8" t="inlineStr">
        <is>
          <t xml:space="preserve">FACEBK *QFMU25N7A4 IED04 X2K5 DUBLIN Betaling met </t>
        </is>
      </c>
      <c r="C104" s="9" t="n">
        <v>-800</v>
      </c>
      <c r="D104" s="8" t="inlineStr">
        <is>
          <t>EU</t>
        </is>
      </c>
      <c r="E104" s="8" t="inlineStr">
        <is>
          <t>gekoppeld</t>
        </is>
      </c>
      <c r="F104" s="8" t="inlineStr">
        <is>
          <t>Meta-kwitantie 28412552321763489-28417867054565341 (2026-09-24) – in Lucy/Yuki</t>
        </is>
      </c>
    </row>
    <row r="105">
      <c r="A105" s="8" t="inlineStr">
        <is>
          <t>2026-09-27</t>
        </is>
      </c>
      <c r="B105" s="8" t="inlineStr">
        <is>
          <t xml:space="preserve">FACEBK *ZDGTF5N7A4 IED04 X2K5 DUBLIN Betaling met </t>
        </is>
      </c>
      <c r="C105" s="9" t="n">
        <v>-800</v>
      </c>
      <c r="D105" s="8" t="inlineStr">
        <is>
          <t>EU</t>
        </is>
      </c>
      <c r="E105" s="8" t="inlineStr">
        <is>
          <t>gekoppeld</t>
        </is>
      </c>
      <c r="F105" s="8" t="inlineStr">
        <is>
          <t>Meta-kwitantie 28496207413397975-28665230016495716 (2026-09-27) – in Lucy/Yuki</t>
        </is>
      </c>
    </row>
    <row r="106">
      <c r="A106" s="8" t="inlineStr">
        <is>
          <t>2026-09-28</t>
        </is>
      </c>
      <c r="B106" s="8" t="inlineStr">
        <is>
          <t>Widem Logistics NV</t>
        </is>
      </c>
      <c r="C106" s="9" t="n">
        <v>-3251.79</v>
      </c>
      <c r="D106" s="8" t="inlineStr">
        <is>
          <t>BE21</t>
        </is>
      </c>
      <c r="E106" s="8" t="inlineStr">
        <is>
          <t>gekoppeld</t>
        </is>
      </c>
      <c r="F106" s="8" t="inlineStr">
        <is>
          <t>Widem 26015435 (mail 2026-09-15)</t>
        </is>
      </c>
    </row>
    <row r="107">
      <c r="A107" s="8" t="inlineStr">
        <is>
          <t>2026-09-30</t>
        </is>
      </c>
      <c r="B107" s="8" t="inlineStr">
        <is>
          <t xml:space="preserve">FACEBK *B9KZT5N7A4 IED04 X2K5 DUBLIN Betaling met </t>
        </is>
      </c>
      <c r="C107" s="9" t="n">
        <v>-800</v>
      </c>
      <c r="D107" s="8" t="inlineStr">
        <is>
          <t>EU</t>
        </is>
      </c>
      <c r="E107" s="8" t="inlineStr">
        <is>
          <t>gekoppeld</t>
        </is>
      </c>
      <c r="F107" s="8" t="inlineStr">
        <is>
          <t>Meta-kwitantie 28690004364018280-28524841167201264 (2026-09-30) – in Lucy/Yuki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80" customWidth="1" min="6" max="6"/>
  </cols>
  <sheetData>
    <row r="1">
      <c r="A1" s="6" t="inlineStr">
        <is>
          <t>Leningen en rekening-courant op 2026-09-30 (uit de bank; voorwaarden te bevestigen)</t>
        </is>
      </c>
    </row>
    <row r="3">
      <c r="A3" s="7" t="inlineStr">
        <is>
          <t>Lening</t>
        </is>
      </c>
      <c r="B3" s="7" t="inlineStr">
        <is>
          <t>Opgenomen</t>
        </is>
      </c>
      <c r="C3" s="7" t="inlineStr">
        <is>
          <t>Afgelost</t>
        </is>
      </c>
      <c r="D3" s="7" t="inlineStr">
        <is>
          <t>Saldo</t>
        </is>
      </c>
      <c r="E3" s="7" t="inlineStr">
        <is>
          <t>Rente betaald</t>
        </is>
      </c>
      <c r="F3" s="7" t="inlineStr">
        <is>
          <t>Uitleg</t>
        </is>
      </c>
    </row>
    <row r="4">
      <c r="A4" s="8" t="inlineStr">
        <is>
          <t>KBC investeringskrediet 420-695088</t>
        </is>
      </c>
      <c r="B4" s="9" t="n">
        <v>19947</v>
      </c>
      <c r="C4" s="9" t="n">
        <v>2098.14</v>
      </c>
      <c r="D4" s="9" t="n">
        <v>17848.86</v>
      </c>
      <c r="E4" s="9" t="n">
        <v>451.19</v>
      </c>
      <c r="F4" s="8" t="inlineStr">
        <is>
          <t>36 mnd vanaf 15/02/2026, rente ±4,1% (bevestigen met kredietvoorstel); kapitaal en rente apart uit de maandelijkse betalingen</t>
        </is>
      </c>
    </row>
    <row r="5">
      <c r="A5" s="8" t="inlineStr">
        <is>
          <t>Creazy CommV (vennootschap Kaydee)</t>
        </is>
      </c>
      <c r="B5" s="9" t="n">
        <v>11176.42</v>
      </c>
      <c r="C5" s="9" t="n">
        <v>1176.42</v>
      </c>
      <c r="D5" s="9" t="n">
        <v>10000</v>
      </c>
      <c r="E5" s="9" t="n">
        <v>0</v>
      </c>
      <c r="F5" s="8" t="inlineStr">
        <is>
          <t>24/06 €10.000 lening + 25/05 €435,72 (reden?) ; 22/01 €1.176,42 = terugstorting btw die SmartPaw op 18/01 voor Creazy betaalde (verrekend)</t>
        </is>
      </c>
    </row>
    <row r="6">
      <c r="A6" s="8" t="inlineStr">
        <is>
          <t>Lening Kaydee</t>
        </is>
      </c>
      <c r="B6" s="9" t="n">
        <v>9000</v>
      </c>
      <c r="C6" s="9" t="n">
        <v>9000</v>
      </c>
      <c r="D6" s="9" t="n">
        <v>0</v>
      </c>
      <c r="E6" s="9" t="n">
        <v>0</v>
      </c>
      <c r="F6" s="8" t="inlineStr">
        <is>
          <t>€9.000 op 05/02 (Revolut), terug op 18/02. Nieuwe lening met intrest? → bevestigen</t>
        </is>
      </c>
    </row>
    <row r="7">
      <c r="A7" s="8" t="inlineStr">
        <is>
          <t>Rekening-courant Henri (voorraad uit inbreng jan 2024)</t>
        </is>
      </c>
      <c r="B7" s="9" t="n">
        <v>14000</v>
      </c>
      <c r="C7" s="9" t="n">
        <v>0</v>
      </c>
      <c r="D7" s="9" t="n">
        <v>14000</v>
      </c>
      <c r="E7" s="9" t="n">
        <v>0</v>
      </c>
      <c r="F7" s="8" t="inlineStr">
        <is>
          <t>oprichting / inbreng; voorwaarden, rente?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60" customWidth="1" min="3" max="3"/>
  </cols>
  <sheetData>
    <row r="1">
      <c r="A1" s="6" t="inlineStr">
        <is>
          <t>Verkoop op afstand aan particulieren in andere EU-landen — drempel €10.000 per kalenderjaar (alle EU-landen samen, excl. btw)</t>
        </is>
      </c>
    </row>
    <row r="3">
      <c r="A3" s="6" t="inlineStr">
        <is>
          <t>2025 (VOF, okt-dec)</t>
        </is>
      </c>
    </row>
    <row r="4">
      <c r="A4" s="2" t="inlineStr">
        <is>
          <t>Nederland</t>
        </is>
      </c>
      <c r="B4" s="10" t="n">
        <v>746.62</v>
      </c>
    </row>
    <row r="5">
      <c r="A5" s="2" t="inlineStr">
        <is>
          <t>Frankrijk</t>
        </is>
      </c>
      <c r="B5" s="10" t="n">
        <v>1712</v>
      </c>
    </row>
    <row r="6">
      <c r="A6" s="2" t="inlineStr">
        <is>
          <t>Portugal</t>
        </is>
      </c>
      <c r="B6" s="10" t="n">
        <v>24.79</v>
      </c>
    </row>
    <row r="7">
      <c r="A7" s="6" t="inlineStr">
        <is>
          <t>Totaal</t>
        </is>
      </c>
      <c r="B7" s="4">
        <f>SUM(B4:B6)</f>
        <v/>
      </c>
      <c r="C7" s="2">
        <f>IF(B7&gt;10000,"DREMPEL OVERSCHREDEN: btw van het land van de klant via OSS","onder de drempel: Belgische btw")</f>
        <v/>
      </c>
    </row>
    <row r="9">
      <c r="A9" s="6" t="inlineStr">
        <is>
          <t>2026 (t/m 24/10)</t>
        </is>
      </c>
    </row>
    <row r="10">
      <c r="A10" s="2" t="inlineStr">
        <is>
          <t>Nederland</t>
        </is>
      </c>
      <c r="B10" s="10" t="n">
        <v>5627.66</v>
      </c>
    </row>
    <row r="11">
      <c r="A11" s="2" t="inlineStr">
        <is>
          <t>Frankrijk</t>
        </is>
      </c>
      <c r="B11" s="10" t="n">
        <v>-88.16</v>
      </c>
    </row>
    <row r="12">
      <c r="A12" s="2" t="inlineStr">
        <is>
          <t>Luxemburg</t>
        </is>
      </c>
      <c r="B12" s="10" t="n">
        <v>117.54</v>
      </c>
    </row>
    <row r="13">
      <c r="A13" s="6" t="inlineStr">
        <is>
          <t>Totaal</t>
        </is>
      </c>
      <c r="B13" s="4">
        <f>SUM(B10:B12)</f>
        <v/>
      </c>
      <c r="C13" s="2">
        <f>IF(B13&gt;10000,"DREMPEL OVERSCHREDEN: btw van het land van de klant via OSS","onder de drempel: Belgische btw")</f>
        <v/>
      </c>
    </row>
    <row r="15">
      <c r="A15" s="5" t="inlineStr">
        <is>
          <t>bol.com-verkopen naar NL zijn hier niet meegeteld (land per bestelling onbekend) — Pro-count: tellen die mee voor de drempel?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2026-10-26T13:00:21Z</dcterms:created>
  <dcterms:modified xsi:type="dcterms:W3CDTF">2026-10-26T13:00:21Z</dcterms:modified>
</cp:coreProperties>
</file>