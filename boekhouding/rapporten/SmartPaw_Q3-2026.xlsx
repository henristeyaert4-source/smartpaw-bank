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3.xml.rels" ContentType="application/vnd.openxmlformats-package.relationships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amenvatting" sheetId="1" state="visible" r:id="rId3"/>
    <sheet name="Verkopen" sheetId="2" state="visible" r:id="rId4"/>
    <sheet name="Aankopen" sheetId="3" state="visible" r:id="rId5"/>
    <sheet name="Btw-voorbereiding" sheetId="4" state="visible" r:id="rId6"/>
    <sheet name="Bankafstemming" sheetId="5" state="visible" r:id="rId7"/>
    <sheet name="Documenten" sheetId="6" state="visible" r:id="rId8"/>
    <sheet name="Leningen" sheetId="7" state="visible" r:id="rId9"/>
    <sheet name="OSS" sheetId="8" state="visible" r:id="rId10"/>
  </sheets>
  <definedNames>
    <definedName function="false" hidden="true" localSheetId="2" name="_xlnm._FilterDatabase" vbProcedure="false">Aankopen!$A$3:$J$117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<sst xmlns="http://schemas.openxmlformats.org/spreadsheetml/2006/main" count="1385" uniqueCount="377">
  <si>
    <t xml:space="preserve">SmartPaw VOF — kwartaalpakket Q3 2026</t>
  </si>
  <si>
    <t xml:space="preserve">Voorbereid door het SmartPaw-financiënplatform op 2026-10-25. Voorbereiding: Pro-count controleert en dient in.</t>
  </si>
  <si>
    <t xml:space="preserve">Verkopen Shopify (netto excl. btw)</t>
  </si>
  <si>
    <t xml:space="preserve">Verkopen bol.com (netto excl. btw)</t>
  </si>
  <si>
    <t xml:space="preserve">Btw op verkopen (vak 54)</t>
  </si>
  <si>
    <t xml:space="preserve">Aftrekbare btw (vak 59)</t>
  </si>
  <si>
    <t xml:space="preserve">Te betalen volgens voorbereiding</t>
  </si>
  <si>
    <t xml:space="preserve">Te betalen volgens Pro-count</t>
  </si>
  <si>
    <t xml:space="preserve">Verschil</t>
  </si>
  <si>
    <t xml:space="preserve">Uitgaven met onzekere btw-behandeling (NAKIJKEN)</t>
  </si>
  <si>
    <t xml:space="preserve">Verrichtingen zonder bewijs</t>
  </si>
  <si>
    <t xml:space="preserve">Tabbladen: Verkopen · Aankopen · Btw-voorbereiding · Bankafstemming · Documenten · Leningen · OSS</t>
  </si>
  <si>
    <t xml:space="preserve">Verkopen Q3 2026 (Shopify per factuurland + bol.com)</t>
  </si>
  <si>
    <t xml:space="preserve">Shopify – land</t>
  </si>
  <si>
    <t xml:space="preserve">Orders</t>
  </si>
  <si>
    <t xml:space="preserve">Bruto</t>
  </si>
  <si>
    <t xml:space="preserve">Korting</t>
  </si>
  <si>
    <t xml:space="preserve">Retours</t>
  </si>
  <si>
    <t xml:space="preserve">Netto excl. btw</t>
  </si>
  <si>
    <t xml:space="preserve">Verzending (incl. btw)</t>
  </si>
  <si>
    <t xml:space="preserve">Btw</t>
  </si>
  <si>
    <t xml:space="preserve">Totaal incl. btw</t>
  </si>
  <si>
    <t xml:space="preserve">België</t>
  </si>
  <si>
    <t xml:space="preserve">Nederland</t>
  </si>
  <si>
    <t xml:space="preserve">(geen land ingevuld)</t>
  </si>
  <si>
    <t xml:space="preserve">Frankrijk</t>
  </si>
  <si>
    <t xml:space="preserve">Luxemburg</t>
  </si>
  <si>
    <t xml:space="preserve">Totaal Shopify</t>
  </si>
  <si>
    <t xml:space="preserve">bol.com (uit de bol-facturen)</t>
  </si>
  <si>
    <t xml:space="preserve">bol – maand</t>
  </si>
  <si>
    <t xml:space="preserve">Omzet incl. btw (na retouren)</t>
  </si>
  <si>
    <t xml:space="preserve">Btw 21%</t>
  </si>
  <si>
    <t xml:space="preserve">Commissie (kost, verlegd)</t>
  </si>
  <si>
    <t xml:space="preserve">bol-ads (kost)</t>
  </si>
  <si>
    <t xml:space="preserve">Retourlabels (kost)</t>
  </si>
  <si>
    <t xml:space="preserve">2026-07</t>
  </si>
  <si>
    <t xml:space="preserve">2026-08</t>
  </si>
  <si>
    <t xml:space="preserve">2026-09</t>
  </si>
  <si>
    <t xml:space="preserve">Totaal bol</t>
  </si>
  <si>
    <t xml:space="preserve">Per betaalwijze (Shopify)</t>
  </si>
  <si>
    <t xml:space="preserve">Betaalwijze</t>
  </si>
  <si>
    <t xml:space="preserve">Terugbetaald</t>
  </si>
  <si>
    <t xml:space="preserve">Netto</t>
  </si>
  <si>
    <t xml:space="preserve">Shopify Payments (kaart, Bancontact, Klarna, …)</t>
  </si>
  <si>
    <t xml:space="preserve">Manueel (overschrijving)</t>
  </si>
  <si>
    <t xml:space="preserve">Cash</t>
  </si>
  <si>
    <t xml:space="preserve">PayPal</t>
  </si>
  <si>
    <t xml:space="preserve">Shopify Payments-kosten (fees)</t>
  </si>
  <si>
    <t xml:space="preserve">Verwachte uitbetalingen (netto − fees)</t>
  </si>
  <si>
    <t xml:space="preserve">Stortingen Shopify Payments op KBC in dit kwartaal</t>
  </si>
  <si>
    <t xml:space="preserve">Verschil (timing: verkoop eind vorig kwartaal betaald in dit kwartaal, en omgekeerd)</t>
  </si>
  <si>
    <t xml:space="preserve">Uitgaven Q3 2026 volgens de bank (KBC, KBC-kredietkaart, Revolut) — met btw-behandeling</t>
  </si>
  <si>
    <t xml:space="preserve">Datum</t>
  </si>
  <si>
    <t xml:space="preserve">Rekening</t>
  </si>
  <si>
    <t xml:space="preserve">Leverancier</t>
  </si>
  <si>
    <t xml:space="preserve">Categorie</t>
  </si>
  <si>
    <t xml:space="preserve">Btw-type</t>
  </si>
  <si>
    <t xml:space="preserve">Vak aangifte</t>
  </si>
  <si>
    <t xml:space="preserve">Toelichting</t>
  </si>
  <si>
    <t xml:space="preserve">Betaald (incl. btw)</t>
  </si>
  <si>
    <t xml:space="preserve">Maatstaf (excl. btw)</t>
  </si>
  <si>
    <t xml:space="preserve">2026-07-01</t>
  </si>
  <si>
    <t xml:space="preserve">KBC</t>
  </si>
  <si>
    <t xml:space="preserve">FACEBK *X87X6SV7A2 IED04 X2K5 Dublin Betaling</t>
  </si>
  <si>
    <t xml:space="preserve">Ads Meta</t>
  </si>
  <si>
    <t xml:space="preserve">EU</t>
  </si>
  <si>
    <t xml:space="preserve">88 / 55 / 59</t>
  </si>
  <si>
    <t xml:space="preserve">dienst Ierland/EU, verlegd</t>
  </si>
  <si>
    <t xml:space="preserve">GOOGLE*WORKSPACE SMART IED02 R296 CC GOOGLE.C</t>
  </si>
  <si>
    <t xml:space="preserve">Software &amp; abonnementen</t>
  </si>
  <si>
    <t xml:space="preserve">Yuki Works NV via Mollie</t>
  </si>
  <si>
    <t xml:space="preserve">BE21</t>
  </si>
  <si>
    <t xml:space="preserve">82 (+ btw in 59)</t>
  </si>
  <si>
    <t xml:space="preserve">Belgische leverancier</t>
  </si>
  <si>
    <t xml:space="preserve">KBC-kaart</t>
  </si>
  <si>
    <t xml:space="preserve">Google ADS4790542578</t>
  </si>
  <si>
    <t xml:space="preserve">Ads Google</t>
  </si>
  <si>
    <t xml:space="preserve">2026-07-04</t>
  </si>
  <si>
    <t xml:space="preserve">RETURNGO</t>
  </si>
  <si>
    <t xml:space="preserve">Verzending &amp; retours (overig)</t>
  </si>
  <si>
    <t xml:space="preserve">NONEU</t>
  </si>
  <si>
    <t xml:space="preserve">87 / 56 / 59</t>
  </si>
  <si>
    <t xml:space="preserve">dienst buiten EU, verlegd</t>
  </si>
  <si>
    <t xml:space="preserve">2026-07-05</t>
  </si>
  <si>
    <t xml:space="preserve">Pro-Count</t>
  </si>
  <si>
    <t xml:space="preserve">Boekhouder</t>
  </si>
  <si>
    <t xml:space="preserve">Widem Logistics NV</t>
  </si>
  <si>
    <t xml:space="preserve">Widem (fulfilment, vracht, invoer)</t>
  </si>
  <si>
    <t xml:space="preserve">Findajob bv</t>
  </si>
  <si>
    <t xml:space="preserve">Personeel (student)</t>
  </si>
  <si>
    <t xml:space="preserve">Henri Steyaert</t>
  </si>
  <si>
    <t xml:space="preserve">Terugbetaling kosten aan Henri</t>
  </si>
  <si>
    <t xml:space="preserve">NAKIJKEN</t>
  </si>
  <si>
    <t xml:space="preserve">?</t>
  </si>
  <si>
    <t xml:space="preserve">terugbetaling privé betaalde kost: factuur + btw nakijken</t>
  </si>
  <si>
    <t xml:space="preserve">2026-07-06</t>
  </si>
  <si>
    <t xml:space="preserve">FACEBK *W9EF8UH8A2 IED04 X2K5 Dublin Betaling</t>
  </si>
  <si>
    <t xml:space="preserve">2026-07-08</t>
  </si>
  <si>
    <t xml:space="preserve">Revolut</t>
  </si>
  <si>
    <t xml:space="preserve">Company Pro plan fee</t>
  </si>
  <si>
    <t xml:space="preserve">GEEN</t>
  </si>
  <si>
    <t xml:space="preserve">82 zonder btw</t>
  </si>
  <si>
    <t xml:space="preserve">vrijgesteld / geen btw</t>
  </si>
  <si>
    <t xml:space="preserve">FACEBK *RQQRHTR7A2 IED04 X2K5 Dublin Betaling</t>
  </si>
  <si>
    <t xml:space="preserve">HOLO AI</t>
  </si>
  <si>
    <t xml:space="preserve">Marketing &amp; content</t>
  </si>
  <si>
    <t xml:space="preserve">2026-07-09</t>
  </si>
  <si>
    <t xml:space="preserve">WIDEM LOGISTICS NV</t>
  </si>
  <si>
    <t xml:space="preserve">2026-07-10</t>
  </si>
  <si>
    <t xml:space="preserve">KLAVIYO INC. SOFTWARE</t>
  </si>
  <si>
    <t xml:space="preserve">2026-07-11</t>
  </si>
  <si>
    <t xml:space="preserve">SHOPIFY* 556521062</t>
  </si>
  <si>
    <t xml:space="preserve">2026-07-12</t>
  </si>
  <si>
    <t xml:space="preserve">2026-07-13</t>
  </si>
  <si>
    <t xml:space="preserve">FACEBK *AF4S7TM7A2 IED04 X2K5 Dublin Betaling</t>
  </si>
  <si>
    <t xml:space="preserve">2026-07-14</t>
  </si>
  <si>
    <t xml:space="preserve">PAYPAL *SMARTPAW</t>
  </si>
  <si>
    <t xml:space="preserve">Terugbetalingen aan klanten</t>
  </si>
  <si>
    <t xml:space="preserve">FIN</t>
  </si>
  <si>
    <t xml:space="preserve">—</t>
  </si>
  <si>
    <t xml:space="preserve">geen aankoop</t>
  </si>
  <si>
    <t xml:space="preserve">2026-07-15</t>
  </si>
  <si>
    <t xml:space="preserve">SMARTPAW VOF</t>
  </si>
  <si>
    <t xml:space="preserve">Aflossing KBC-krediet</t>
  </si>
  <si>
    <t xml:space="preserve">Rente KBC-krediet</t>
  </si>
  <si>
    <t xml:space="preserve">2026-07-19</t>
  </si>
  <si>
    <t xml:space="preserve">Dienst BTW-ontvangsten</t>
  </si>
  <si>
    <t xml:space="preserve">btw-betaling</t>
  </si>
  <si>
    <t xml:space="preserve">FACEBK *G99QSTM8A2 IED04 X2K5 Dublin Betaling</t>
  </si>
  <si>
    <t xml:space="preserve">HIGGSFIELD INC. US94105 SAN FRANCISCO Betalin</t>
  </si>
  <si>
    <t xml:space="preserve">2026-07-20</t>
  </si>
  <si>
    <t xml:space="preserve">SP PACKAGINGDISCOUNTER</t>
  </si>
  <si>
    <t xml:space="preserve">Voorraad (verpakking &amp; giveaways)</t>
  </si>
  <si>
    <t xml:space="preserve">buitenlandse/onbekende leverancier</t>
  </si>
  <si>
    <t xml:space="preserve">2026-07-23</t>
  </si>
  <si>
    <t xml:space="preserve">BPOST NV BE1000 BRUXELLES Betaling met KBC-De</t>
  </si>
  <si>
    <t xml:space="preserve">YAKI NOODLE BAR BE9000 GENT Betaling met KBC-</t>
  </si>
  <si>
    <t xml:space="preserve">Representatie &amp; reizen</t>
  </si>
  <si>
    <t xml:space="preserve">BE21NA</t>
  </si>
  <si>
    <t xml:space="preserve">82 (btw niet aftrekbaar)</t>
  </si>
  <si>
    <t xml:space="preserve">restaurant/representatie</t>
  </si>
  <si>
    <t xml:space="preserve">2026-07-26</t>
  </si>
  <si>
    <t xml:space="preserve">FACEBK *25EEEVR7A2 IED04 X2K5 Dublin Betaling</t>
  </si>
  <si>
    <t xml:space="preserve">AMBULANTE ZELFSTANDIGEN VZW</t>
  </si>
  <si>
    <t xml:space="preserve">Markten &amp; events</t>
  </si>
  <si>
    <t xml:space="preserve">lidmaatschap/standgeld: btw?</t>
  </si>
  <si>
    <t xml:space="preserve">Shopify Hardware Store IED04 Xn32 Dublin Beta</t>
  </si>
  <si>
    <t xml:space="preserve">Materiaal</t>
  </si>
  <si>
    <t xml:space="preserve">KBC Verzekeringen</t>
  </si>
  <si>
    <t xml:space="preserve">Verzekering</t>
  </si>
  <si>
    <t xml:space="preserve">FINDAJOB BV</t>
  </si>
  <si>
    <t xml:space="preserve">2026-07-27</t>
  </si>
  <si>
    <t xml:space="preserve">2026-07-28</t>
  </si>
  <si>
    <t xml:space="preserve">bpost parcel</t>
  </si>
  <si>
    <t xml:space="preserve">Plus Gent BE9000 Gent Betaling met KBC-Debetk</t>
  </si>
  <si>
    <t xml:space="preserve">2026-07-30</t>
  </si>
  <si>
    <t xml:space="preserve">FACEBK *Y2RWNU98A2 IED04 X2K5 Dublin Betaling</t>
  </si>
  <si>
    <t xml:space="preserve">2026-08-01</t>
  </si>
  <si>
    <t xml:space="preserve">2026-08-02</t>
  </si>
  <si>
    <t xml:space="preserve">FACEBK *CTEE3XH8A2 IED04 X2K5 Dublin Betaling</t>
  </si>
  <si>
    <t xml:space="preserve">2026-08-03</t>
  </si>
  <si>
    <t xml:space="preserve">2026-08-04</t>
  </si>
  <si>
    <t xml:space="preserve">FACEBK *LWJTNVM7A2 IED04 X2K5 Dublin Betaling</t>
  </si>
  <si>
    <t xml:space="preserve">2026-08-06</t>
  </si>
  <si>
    <t xml:space="preserve">SHOPIFY* 569354127</t>
  </si>
  <si>
    <t xml:space="preserve">2026-08-08</t>
  </si>
  <si>
    <t xml:space="preserve">2026-08-09</t>
  </si>
  <si>
    <t xml:space="preserve">Action 2009 BE8560 Wevelgem Betaling met Appl</t>
  </si>
  <si>
    <t xml:space="preserve">FACEBK *XWUSXWR7A2 IED04 X2K5 Dublin Betaling</t>
  </si>
  <si>
    <t xml:space="preserve">2026-08-10</t>
  </si>
  <si>
    <t xml:space="preserve">Hotel on Booking.com NL1017 CE AMSTERDAM Beta</t>
  </si>
  <si>
    <t xml:space="preserve">hotel buitenland, buitenlandse btw niet aftrekbaar</t>
  </si>
  <si>
    <t xml:space="preserve">FACEBK *F7VQBWM8A2 IED04 X2K5 Dublin Betaling</t>
  </si>
  <si>
    <t xml:space="preserve">SHOPIFY* 571029665</t>
  </si>
  <si>
    <t xml:space="preserve">2026-08-11</t>
  </si>
  <si>
    <t xml:space="preserve">Drukbedrijf.nl NL1114AE Amsterdam Betaling me</t>
  </si>
  <si>
    <t xml:space="preserve">2026-08-13</t>
  </si>
  <si>
    <t xml:space="preserve">THE SANTIBAL BE8700 TIELT Betaling met KBC-De</t>
  </si>
  <si>
    <t xml:space="preserve">2026-08-14</t>
  </si>
  <si>
    <t xml:space="preserve">FACEBK *JHMLRWM8A2</t>
  </si>
  <si>
    <t xml:space="preserve">2026-08-16</t>
  </si>
  <si>
    <t xml:space="preserve">2026-08-17</t>
  </si>
  <si>
    <t xml:space="preserve">FACEBK *TK743YR7A2 IED04 X2K5 DUBLIN Betaling</t>
  </si>
  <si>
    <t xml:space="preserve">2026-08-18</t>
  </si>
  <si>
    <t xml:space="preserve">NENUPHAR BE9051 AFSNEE Betaling met Apple Pay</t>
  </si>
  <si>
    <t xml:space="preserve">2026-08-19</t>
  </si>
  <si>
    <t xml:space="preserve">SHOPIFY* 576277386</t>
  </si>
  <si>
    <t xml:space="preserve">2026-08-20</t>
  </si>
  <si>
    <t xml:space="preserve">FACEBK *32NABX98A2 IED04 X2K5 Dublin Betaling</t>
  </si>
  <si>
    <t xml:space="preserve">2026-08-23</t>
  </si>
  <si>
    <t xml:space="preserve">FACEBK *5F9L8Y58A2 IED04 X2K5 Dublin Betaling</t>
  </si>
  <si>
    <t xml:space="preserve">2026-08-25</t>
  </si>
  <si>
    <t xml:space="preserve">Advancemedia</t>
  </si>
  <si>
    <t xml:space="preserve">dienst Nederland, verlegd</t>
  </si>
  <si>
    <t xml:space="preserve">2026-08-26</t>
  </si>
  <si>
    <t xml:space="preserve">FACEBK *J93Z3Y98A2 IED04 X2K5 Dublin Betaling</t>
  </si>
  <si>
    <t xml:space="preserve">2026-08-30</t>
  </si>
  <si>
    <t xml:space="preserve">FACEBK *QHUESYM7A2 IED04 X2K5 Dublin Betaling</t>
  </si>
  <si>
    <t xml:space="preserve">2026-09-01</t>
  </si>
  <si>
    <t xml:space="preserve">METAPAY*MV4B</t>
  </si>
  <si>
    <t xml:space="preserve">2026-09-02</t>
  </si>
  <si>
    <t xml:space="preserve">Second part order Furvac 750 pcs</t>
  </si>
  <si>
    <t xml:space="preserve">Voorraad (fabriek)</t>
  </si>
  <si>
    <t xml:space="preserve">INVOER</t>
  </si>
  <si>
    <t xml:space="preserve">invoeraangifte (Widem)</t>
  </si>
  <si>
    <t xml:space="preserve">goederen China; btw via invoer (Widem)</t>
  </si>
  <si>
    <t xml:space="preserve">2026-09-03</t>
  </si>
  <si>
    <t xml:space="preserve">FACEBK *7RKG93W7A4 IED04 X2K5 Dublin Betaling</t>
  </si>
  <si>
    <t xml:space="preserve">2026-09-06</t>
  </si>
  <si>
    <t xml:space="preserve">FACEBK *45UMKZM8A2 IED04 X2K5 Dublin Betaling</t>
  </si>
  <si>
    <t xml:space="preserve">2026-09-08</t>
  </si>
  <si>
    <t xml:space="preserve">FACEBK *L3G8L3A8A4 IED04 X2K5 Dublin Betaling</t>
  </si>
  <si>
    <t xml:space="preserve">2026-09-09</t>
  </si>
  <si>
    <t xml:space="preserve">SHOPIFY* 586058249</t>
  </si>
  <si>
    <t xml:space="preserve">2026-09-10</t>
  </si>
  <si>
    <t xml:space="preserve">FACEBK *FZ5UX3A8A4 IED04 X2K5 DUBLIN Betaling</t>
  </si>
  <si>
    <t xml:space="preserve">2026-09-13</t>
  </si>
  <si>
    <t xml:space="preserve">Haddok BE9000 Gent, Belg Betaling met KBC-Deb</t>
  </si>
  <si>
    <t xml:space="preserve">2026-09-14</t>
  </si>
  <si>
    <t xml:space="preserve">FACEBK *EY2TK3N7A4 IED04 X2K5 DUBLIN Betaling</t>
  </si>
  <si>
    <t xml:space="preserve">2026-09-15</t>
  </si>
  <si>
    <t xml:space="preserve">2026-09-17</t>
  </si>
  <si>
    <t xml:space="preserve">FACEBK *52WHD3S7A4 IED04 X2K5 DUBLIN Betaling</t>
  </si>
  <si>
    <t xml:space="preserve">2026-09-20</t>
  </si>
  <si>
    <t xml:space="preserve">PAY*PATRON BE9000 GENT Betaling met Apple Pay</t>
  </si>
  <si>
    <t xml:space="preserve">POM-OostV Bedrijven BE9000 Gent Betaling met </t>
  </si>
  <si>
    <t xml:space="preserve">Administratie &amp; lidmaatschappen</t>
  </si>
  <si>
    <t xml:space="preserve">FACEBK *VRFKQ5W7A4 IED04 X2K5 DUBLIN Betaling</t>
  </si>
  <si>
    <t xml:space="preserve">2026-09-24</t>
  </si>
  <si>
    <t xml:space="preserve">FACEBK *QFMU25N7A4 IED04 X2K5 DUBLIN Betaling</t>
  </si>
  <si>
    <t xml:space="preserve">2026-09-27</t>
  </si>
  <si>
    <t xml:space="preserve">FACEBK *ZDGTF5N7A4 IED04 X2K5 DUBLIN Betaling</t>
  </si>
  <si>
    <t xml:space="preserve">2026-09-28</t>
  </si>
  <si>
    <t xml:space="preserve">bpost</t>
  </si>
  <si>
    <t xml:space="preserve">2026-09-29</t>
  </si>
  <si>
    <t xml:space="preserve">Afrekening op 30-09-2026 van BE84 7310 7076 0</t>
  </si>
  <si>
    <t xml:space="preserve">Bankkosten</t>
  </si>
  <si>
    <t xml:space="preserve">2026-09-30</t>
  </si>
  <si>
    <t xml:space="preserve">FACEBK *B9KZT5N7A4 IED04 X2K5 DUBLIN Betaling</t>
  </si>
  <si>
    <t xml:space="preserve">Aanrekening kosten Beheer kredietdossier C22-</t>
  </si>
  <si>
    <t xml:space="preserve">Btw-aangifte Q3 2026 — voorbereiding (ter controle door Pro-count)</t>
  </si>
  <si>
    <t xml:space="preserve">Vak</t>
  </si>
  <si>
    <t xml:space="preserve">Omschrijving</t>
  </si>
  <si>
    <t xml:space="preserve">Bedrag</t>
  </si>
  <si>
    <t xml:space="preserve">03</t>
  </si>
  <si>
    <t xml:space="preserve">Verkopen 21% (maatstaf): Shopify netto + verzending excl. btw + bol netto</t>
  </si>
  <si>
    <t xml:space="preserve">54</t>
  </si>
  <si>
    <t xml:space="preserve">Verschuldigde btw op verkopen</t>
  </si>
  <si>
    <t xml:space="preserve">82</t>
  </si>
  <si>
    <t xml:space="preserve">Aankopen diensten en diverse goederen BE (maatstaf, incl. niet-aftrekbaar)</t>
  </si>
  <si>
    <t xml:space="preserve">88</t>
  </si>
  <si>
    <t xml:space="preserve">Diensten uit andere EU-landen (verlegd) — maatstaf</t>
  </si>
  <si>
    <t xml:space="preserve">55</t>
  </si>
  <si>
    <t xml:space="preserve">Btw op vak 88 (verlegd, verschuldigd)</t>
  </si>
  <si>
    <t xml:space="preserve">87</t>
  </si>
  <si>
    <t xml:space="preserve">Diensten van buiten de EU (verlegd) + invoer art. 41 — maatstaf</t>
  </si>
  <si>
    <t xml:space="preserve">56</t>
  </si>
  <si>
    <t xml:space="preserve">Btw op vak 87 (verlegd, verschuldigd)</t>
  </si>
  <si>
    <t xml:space="preserve">59</t>
  </si>
  <si>
    <t xml:space="preserve">Aftrekbare btw: Belgische aankopen 21% + verlegde btw 55 + 56 + 57</t>
  </si>
  <si>
    <t xml:space="preserve">Te betalen (54 + 55 + 56 + 57 − 59)</t>
  </si>
  <si>
    <t xml:space="preserve">Opgegeven door Pro-count (mail 22/10/2026)</t>
  </si>
  <si>
    <t xml:space="preserve">Verschil voorbereiding − Pro-count</t>
  </si>
  <si>
    <t xml:space="preserve">57</t>
  </si>
  <si>
    <t xml:space="preserve">Btw op invoer met verlegging (art. 41, invoeraangiftes Widem)</t>
  </si>
  <si>
    <t xml:space="preserve">Niet in deze voorbereiding: btw-correcties, en uitgaven van het type 'NAKIJKEN' (zie Aankopen).</t>
  </si>
  <si>
    <t xml:space="preserve">Invoer: waarde onbekend voor WID202607353 (invoeraangifte opvragen bij Widem); 57 en 59 heffen elkaar op.</t>
  </si>
  <si>
    <t xml:space="preserve">Ook alle NL-verkopen dragen nu Belgische btw (OSS-drempel €10.000 nog niet bereikt, zie OSS).</t>
  </si>
  <si>
    <t xml:space="preserve">Bankafstemming Q3 2026</t>
  </si>
  <si>
    <t xml:space="preserve">Munt</t>
  </si>
  <si>
    <t xml:space="preserve">Beginsaldo</t>
  </si>
  <si>
    <t xml:space="preserve">In</t>
  </si>
  <si>
    <t xml:space="preserve">Uit</t>
  </si>
  <si>
    <t xml:space="preserve">Eindsaldo</t>
  </si>
  <si>
    <t xml:space="preserve">Verrichtingen</t>
  </si>
  <si>
    <t xml:space="preserve">Controle (moet 0 zijn)</t>
  </si>
  <si>
    <t xml:space="preserve">KBC zichtrekening BE84 7310 7076 0259</t>
  </si>
  <si>
    <t xml:space="preserve">EUR</t>
  </si>
  <si>
    <t xml:space="preserve">Revolut Business EUR</t>
  </si>
  <si>
    <t xml:space="preserve">Revolut Business USD</t>
  </si>
  <si>
    <t xml:space="preserve">USD</t>
  </si>
  <si>
    <t xml:space="preserve">Saldi teruggerekend vanaf de bankstand van 2026-10-25 (Ponto/Revolut). KBC-kredietkaart: zie Aankopen (rekening 'KBC-kaart'); afrekening via de zichtrekening.</t>
  </si>
  <si>
    <t xml:space="preserve">Kredietkaartuitgaven in dit kwartaal</t>
  </si>
  <si>
    <t xml:space="preserve">Bewijs per verrichting: 27 gekoppeld, 78 verklaard (geen factuur nodig, niet in deze lijst), 77 ontbreken. Facturen zitten in de map Facturen_Q3-2026 (bestandsnaam = datum_leverancier_bedrag).</t>
  </si>
  <si>
    <t xml:space="preserve">Tegenpartij</t>
  </si>
  <si>
    <t xml:space="preserve">Status</t>
  </si>
  <si>
    <t xml:space="preserve">Bewijs</t>
  </si>
  <si>
    <t xml:space="preserve">GOOGLE*WORKSPACE SMART IED02 R296 CC GOOGLE.COM Be</t>
  </si>
  <si>
    <t xml:space="preserve">ontbreekt</t>
  </si>
  <si>
    <t xml:space="preserve">HIGGSFIELD INC. US94105 SAN FRANCISCO Betaling met</t>
  </si>
  <si>
    <t xml:space="preserve">BPOST NV BE1000 BRUXELLES Betaling met KBC-Debetka</t>
  </si>
  <si>
    <t xml:space="preserve">YAKI NOODLE BAR BE9000 GENT Betaling met KBC-Debet</t>
  </si>
  <si>
    <t xml:space="preserve">Shopify Hardware Store IED04 Xn32 Dublin Betaling </t>
  </si>
  <si>
    <t xml:space="preserve">Plus Gent BE9000 Gent Betaling met KBC-Debetkaart </t>
  </si>
  <si>
    <t xml:space="preserve">Action 2009 BE8560 Wevelgem Betaling met Apple Pay</t>
  </si>
  <si>
    <t xml:space="preserve">Hotel on Booking.com NL1017 CE AMSTERDAM Betaling </t>
  </si>
  <si>
    <t xml:space="preserve">Drukbedrijf.nl NL1114AE Amsterdam Betaling met KBC</t>
  </si>
  <si>
    <t xml:space="preserve">THE SANTIBAL BE8700 TIELT Betaling met KBC-Debetka</t>
  </si>
  <si>
    <t xml:space="preserve">NENUPHAR BE9051 AFSNEE Betaling met Apple Pay via </t>
  </si>
  <si>
    <t xml:space="preserve">Haddok BE9000 Gent, Belg Betaling met KBC-Debetkaa</t>
  </si>
  <si>
    <t xml:space="preserve">PAY*PATRON BE9000 GENT Betaling met Apple Pay via </t>
  </si>
  <si>
    <t xml:space="preserve">POM-OostV Bedrijven BE9000 Gent Betaling met KBC-D</t>
  </si>
  <si>
    <t xml:space="preserve">FACEBK *X87X6SV7A2 IED04 X2K5 Dublin Betaling met </t>
  </si>
  <si>
    <t xml:space="preserve">gekoppeld</t>
  </si>
  <si>
    <t xml:space="preserve">Meta-kwitantie 27253725940979469-27253726004312796 (2026-07-01) – in Lucy/Yuki</t>
  </si>
  <si>
    <t xml:space="preserve">FACEBK *W9EF8UH8A2 IED04 X2K5 Dublin Betaling met </t>
  </si>
  <si>
    <t xml:space="preserve">Meta-kwitantie 27355189934166399-27530401703311892 (2026-07-06) – in Lucy/Yuki</t>
  </si>
  <si>
    <t xml:space="preserve">FACEBK *RQQRHTR7A2 IED04 X2K5 Dublin Betaling met </t>
  </si>
  <si>
    <t xml:space="preserve">Meta-kwitantie 27328965953455467-27376759048676154 (2026-07-08) – in Lucy/Yuki</t>
  </si>
  <si>
    <t xml:space="preserve">FACEBK *AF4S7TM7A2 IED04 X2K5 Dublin Betaling met </t>
  </si>
  <si>
    <t xml:space="preserve">Meta-kwitantie 27593360840349303-27416226398062750 (2026-07-13) – in Lucy/Yuki</t>
  </si>
  <si>
    <t xml:space="preserve">FACEBK *G99QSTM8A2 IED04 X2K5 Dublin Betaling met </t>
  </si>
  <si>
    <t xml:space="preserve">Meta-kwitantie 27669559296062797-27482434021441995 (2026-07-19) – in Lucy/Yuki</t>
  </si>
  <si>
    <t xml:space="preserve">FACEBK *25EEEVR7A2 IED04 X2K5 Dublin Betaling met </t>
  </si>
  <si>
    <t xml:space="preserve">Meta-kwitantie 27560767960275267-27538964052455655 (2026-07-25) – in Lucy/Yuki</t>
  </si>
  <si>
    <t xml:space="preserve">FACEBK *Y2RWNU98A2 IED04 X2K5 Dublin Betaling met </t>
  </si>
  <si>
    <t xml:space="preserve">Meta-kwitantie 27610339325318122-27705458205806234 (2026-07-29) – in Lucy/Yuki</t>
  </si>
  <si>
    <t xml:space="preserve">FACEBK *CTEE3XH8A2 IED04 X2K5 Dublin Betaling met </t>
  </si>
  <si>
    <t xml:space="preserve">Meta-kwitantie 27848362231515836-27831764456508946 (2026-08-01) – in Lucy/Yuki</t>
  </si>
  <si>
    <t xml:space="preserve">FACEBK *LWJTNVM7A2 IED04 X2K5 Dublin Betaling met </t>
  </si>
  <si>
    <t xml:space="preserve">Meta-kwitantie 27711775655174490-27869145762770808 (2026-08-04) – in Lucy/Yuki</t>
  </si>
  <si>
    <t xml:space="preserve">FACEBK *XWUSXWR7A2 IED04 X2K5 Dublin Betaling met </t>
  </si>
  <si>
    <t xml:space="preserve">Meta-kwitantie 27916096561409061-27967802372905150 (2026-08-08) – in Lucy/Yuki</t>
  </si>
  <si>
    <t xml:space="preserve">FACEBK *F7VQBWM8A2 IED04 X2K5 Dublin Betaling met </t>
  </si>
  <si>
    <t xml:space="preserve">Meta-kwitantie 28001385692880151-27949550744730309 (2026-08-10) – in Lucy/Yuki</t>
  </si>
  <si>
    <t xml:space="preserve">Meta-kwitantie 27840792075606180-27840792262272828 (2026-08-14) – in Lucy/Yuki</t>
  </si>
  <si>
    <t xml:space="preserve">FACEBK *TK743YR7A2 IED04 X2K5 DUBLIN Betaling met </t>
  </si>
  <si>
    <t xml:space="preserve">Meta-kwitantie 28061581953527195-27855281750823885 (2026-08-17) – in Lucy/Yuki</t>
  </si>
  <si>
    <t xml:space="preserve">FACEBK *32NABX98A2 IED04 X2K5 Dublin Betaling met </t>
  </si>
  <si>
    <t xml:space="preserve">Meta-kwitantie 28134158839602835-28081838734834842 (2026-08-20) – in Lucy/Yuki</t>
  </si>
  <si>
    <t xml:space="preserve">FACEBK *5F9L8Y58A2 IED04 X2K5 Dublin Betaling met </t>
  </si>
  <si>
    <t xml:space="preserve">Meta-kwitantie 27978323681853020-27946942661657785 (2026-08-23) – in Lucy/Yuki</t>
  </si>
  <si>
    <t xml:space="preserve">FACEBK *J93Z3Y98A2 IED04 X2K5 Dublin Betaling met </t>
  </si>
  <si>
    <t xml:space="preserve">Meta-kwitantie 28174602315558490-28023493624002692 (2026-08-26) – in Lucy/Yuki</t>
  </si>
  <si>
    <t xml:space="preserve">FACEBK *QHUESYM7A2 IED04 X2K5 Dublin Betaling met </t>
  </si>
  <si>
    <t xml:space="preserve">Meta-kwitantie 28241109438907778-28269737452711639 (2026-08-30) – in Lucy/Yuki</t>
  </si>
  <si>
    <t xml:space="preserve">FACEBK *7RKG93W7A4 IED04 X2K5 Dublin Betaling met </t>
  </si>
  <si>
    <t xml:space="preserve">Meta-kwitantie 28057913993893989-28264454399906607 (2026-09-02) – in Lucy/Yuki</t>
  </si>
  <si>
    <t xml:space="preserve">FACEBK *45UMKZM8A2 IED04 X2K5 Dublin Betaling met </t>
  </si>
  <si>
    <t xml:space="preserve">Meta-kwitantie 28135330259485690-28135330349485681 (2026-09-05) – in Lucy/Yuki</t>
  </si>
  <si>
    <t xml:space="preserve">FACEBK *L3G8L3A8A4 IED04 X2K5 Dublin Betaling met </t>
  </si>
  <si>
    <t xml:space="preserve">Meta-kwitantie 28354522874233099-28372066432478744 (2026-09-08) – in Lucy/Yuki</t>
  </si>
  <si>
    <t xml:space="preserve">FACEBK *FZ5UX3A8A4 IED04 X2K5 DUBLIN Betaling met </t>
  </si>
  <si>
    <t xml:space="preserve">Meta-kwitantie 28388089664209746-28211277685224280 (2026-09-10) – in Lucy/Yuki</t>
  </si>
  <si>
    <t xml:space="preserve">FACEBK *EY2TK3N7A4 IED04 X2K5 DUBLIN Betaling met </t>
  </si>
  <si>
    <t xml:space="preserve">Meta-kwitantie 28254286180923430-28254286254256756 (2026-09-13) – in Lucy/Yuki</t>
  </si>
  <si>
    <t xml:space="preserve">FACEBK *52WHD3S7A4 IED04 X2K5 DUBLIN Betaling met </t>
  </si>
  <si>
    <t xml:space="preserve">Meta-kwitantie 28488005980884780-28343182888700429 (2026-09-17) – in Lucy/Yuki</t>
  </si>
  <si>
    <t xml:space="preserve">FACEBK *VRFKQ5W7A4 IED04 X2K5 DUBLIN Betaling met </t>
  </si>
  <si>
    <t xml:space="preserve">Meta-kwitantie 28548539494831435-28333791032972949 (2026-09-20) – in Lucy/Yuki</t>
  </si>
  <si>
    <t xml:space="preserve">FACEBK *QFMU25N7A4 IED04 X2K5 DUBLIN Betaling met </t>
  </si>
  <si>
    <t xml:space="preserve">Meta-kwitantie 28412552321763489-28417867054565341 (2026-09-24) – in Lucy/Yuki</t>
  </si>
  <si>
    <t xml:space="preserve">FACEBK *ZDGTF5N7A4 IED04 X2K5 DUBLIN Betaling met </t>
  </si>
  <si>
    <t xml:space="preserve">Meta-kwitantie 28496207413397975-28665230016495716 (2026-09-27) – in Lucy/Yuki</t>
  </si>
  <si>
    <t xml:space="preserve">FACEBK *B9KZT5N7A4 IED04 X2K5 DUBLIN Betaling met </t>
  </si>
  <si>
    <t xml:space="preserve">Meta-kwitantie 28690004364018280-28524841167201264 (2026-09-30) – in Lucy/Yuki</t>
  </si>
  <si>
    <t xml:space="preserve">Leningen en rekening-courant op 2026-09-30 (uit de bank; voorwaarden te bevestigen)</t>
  </si>
  <si>
    <t xml:space="preserve">Lening</t>
  </si>
  <si>
    <t xml:space="preserve">Opgenomen</t>
  </si>
  <si>
    <t xml:space="preserve">Afgelost</t>
  </si>
  <si>
    <t xml:space="preserve">Saldo</t>
  </si>
  <si>
    <t xml:space="preserve">Rente betaald</t>
  </si>
  <si>
    <t xml:space="preserve">Uitleg</t>
  </si>
  <si>
    <t xml:space="preserve">KBC investeringskrediet 420-695088</t>
  </si>
  <si>
    <t xml:space="preserve">36 mnd vanaf 15/02/2026, rente ±4,1% (bevestigen met kredietvoorstel); kapitaal en rente apart uit de maandelijkse betalingen</t>
  </si>
  <si>
    <t xml:space="preserve">Creazy CommV (vennootschap Kaydee)</t>
  </si>
  <si>
    <t xml:space="preserve">24/06 €10.000 lening + 25/05 €435,72 (reden?) ; 22/01 €1.176,42 = terugstorting btw die SmartPaw op 18/01 voor Creazy betaalde (verrekend)</t>
  </si>
  <si>
    <t xml:space="preserve">Lening Kaydee</t>
  </si>
  <si>
    <t xml:space="preserve">€9.000 op 05/02 (Revolut), terug op 18/02. Nieuwe lening met intrest? → bevestigen</t>
  </si>
  <si>
    <t xml:space="preserve">Rekening-courant Henri (voorraad uit inbreng jan 2024)</t>
  </si>
  <si>
    <t xml:space="preserve">oprichting / inbreng; voorwaarden, rente?</t>
  </si>
  <si>
    <t xml:space="preserve">Verkoop op afstand aan particulieren in andere EU-landen — drempel €10.000 per kalenderjaar (alle EU-landen samen, excl. btw)</t>
  </si>
  <si>
    <t xml:space="preserve">2025 (VOF, okt-dec)</t>
  </si>
  <si>
    <t xml:space="preserve">Portugal</t>
  </si>
  <si>
    <t xml:space="preserve">Totaal</t>
  </si>
  <si>
    <t xml:space="preserve">2026 (t/m 24/10)</t>
  </si>
  <si>
    <t xml:space="preserve">bol.com-verkopen naar NL zijn hier niet meegeteld (land per bestelling onbekend) — Pro-count: tellen die mee voor de drempel?</t>
  </si>
</sst>
</file>

<file path=xl/styles.xml><?xml version="1.0" encoding="utf-8"?>
<styleSheet xmlns="http://schemas.openxmlformats.org/spreadsheetml/2006/main">
  <numFmts count="2">
    <numFmt numFmtId="164" formatCode="General"/>
    <numFmt numFmtId="165" formatCode="&quot;€ &quot;#,##0.00;[RED]&quot;-€ &quot;#,##0.00;\-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1"/>
      <color rgb="FFFFFFFF"/>
      <name val="Arial"/>
      <family val="0"/>
      <charset val="1"/>
    </font>
  </fonts>
  <fills count="3">
    <fill>
      <patternFill patternType="none"/>
    </fill>
    <fill>
      <patternFill patternType="gray125"/>
    </fill>
    <fill>
      <patternFill patternType="solid">
        <fgColor rgb="FF0E6B5C"/>
        <bgColor rgb="FF00808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/>
      <bottom style="thin">
        <color rgb="FFD9DDD5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4">
    <dxf>
      <fill>
        <patternFill patternType="solid">
          <fgColor rgb="FF0E6B5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E6B5C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DD5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2" min="2" style="0" width="18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2" t="s">
        <v>2</v>
      </c>
      <c r="B4" s="3" t="n">
        <f aca="false">Verkopen!F9</f>
        <v>41096.65</v>
      </c>
    </row>
    <row r="5" customFormat="false" ht="15" hidden="false" customHeight="false" outlineLevel="0" collapsed="false">
      <c r="A5" s="2" t="s">
        <v>3</v>
      </c>
      <c r="B5" s="3" t="n">
        <f aca="false">Verkopen!D16</f>
        <v>3830.55371900826</v>
      </c>
    </row>
    <row r="6" customFormat="false" ht="15" hidden="false" customHeight="false" outlineLevel="0" collapsed="false">
      <c r="A6" s="2" t="s">
        <v>4</v>
      </c>
      <c r="B6" s="3" t="n">
        <f aca="false">'Btw-voorbereiding'!C5</f>
        <v>9512.19628099174</v>
      </c>
    </row>
    <row r="7" customFormat="false" ht="15" hidden="false" customHeight="false" outlineLevel="0" collapsed="false">
      <c r="A7" s="2" t="s">
        <v>5</v>
      </c>
      <c r="B7" s="3" t="n">
        <f aca="false">'Btw-voorbereiding'!C11</f>
        <v>8259.72048595041</v>
      </c>
    </row>
    <row r="8" customFormat="false" ht="15" hidden="false" customHeight="false" outlineLevel="0" collapsed="false">
      <c r="A8" s="2" t="s">
        <v>6</v>
      </c>
      <c r="B8" s="4" t="n">
        <f aca="false">'Btw-voorbereiding'!C12</f>
        <v>6837.98859504132</v>
      </c>
    </row>
    <row r="9" customFormat="false" ht="15" hidden="false" customHeight="false" outlineLevel="0" collapsed="false">
      <c r="A9" s="2" t="s">
        <v>7</v>
      </c>
      <c r="B9" s="4" t="n">
        <f aca="false">'Btw-voorbereiding'!C13</f>
        <v>6873.24</v>
      </c>
    </row>
    <row r="10" customFormat="false" ht="15" hidden="false" customHeight="false" outlineLevel="0" collapsed="false">
      <c r="A10" s="2" t="s">
        <v>8</v>
      </c>
      <c r="B10" s="4" t="n">
        <f aca="false">'Btw-voorbereiding'!C14</f>
        <v>-35.2514049586753</v>
      </c>
    </row>
    <row r="11" customFormat="false" ht="15" hidden="false" customHeight="false" outlineLevel="0" collapsed="false">
      <c r="A11" s="2" t="s">
        <v>9</v>
      </c>
      <c r="B11" s="2" t="n">
        <f aca="false">COUNTIF(Aankopen!E4:E117,"NAKIJKEN")</f>
        <v>8</v>
      </c>
    </row>
    <row r="12" customFormat="false" ht="15" hidden="false" customHeight="false" outlineLevel="0" collapsed="false">
      <c r="A12" s="2" t="s">
        <v>10</v>
      </c>
      <c r="B12" s="2" t="n">
        <v>77</v>
      </c>
    </row>
    <row r="14" customFormat="false" ht="15" hidden="false" customHeight="false" outlineLevel="0" collapsed="false">
      <c r="A14" s="5" t="s">
        <v>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9"/>
    <col collapsed="false" customWidth="true" hidden="false" outlineLevel="0" max="5" min="3" style="0" width="13"/>
    <col collapsed="false" customWidth="true" hidden="false" outlineLevel="0" max="7" min="6" style="0" width="15"/>
    <col collapsed="false" customWidth="true" hidden="false" outlineLevel="0" max="8" min="8" style="0" width="13"/>
    <col collapsed="false" customWidth="true" hidden="false" outlineLevel="0" max="9" min="9" style="0" width="15"/>
  </cols>
  <sheetData>
    <row r="1" customFormat="false" ht="15" hidden="false" customHeight="false" outlineLevel="0" collapsed="false">
      <c r="A1" s="6" t="s">
        <v>12</v>
      </c>
    </row>
    <row r="3" customFormat="false" ht="26.85" hidden="false" customHeight="false" outlineLevel="0" collapsed="false">
      <c r="A3" s="7" t="s">
        <v>13</v>
      </c>
      <c r="B3" s="7" t="s">
        <v>14</v>
      </c>
      <c r="C3" s="7" t="s">
        <v>15</v>
      </c>
      <c r="D3" s="7" t="s">
        <v>16</v>
      </c>
      <c r="E3" s="7" t="s">
        <v>17</v>
      </c>
      <c r="F3" s="7" t="s">
        <v>18</v>
      </c>
      <c r="G3" s="7" t="s">
        <v>19</v>
      </c>
      <c r="H3" s="7" t="s">
        <v>20</v>
      </c>
      <c r="I3" s="7" t="s">
        <v>21</v>
      </c>
    </row>
    <row r="4" customFormat="false" ht="15" hidden="false" customHeight="false" outlineLevel="0" collapsed="false">
      <c r="A4" s="8" t="s">
        <v>22</v>
      </c>
      <c r="B4" s="8" t="n">
        <v>416</v>
      </c>
      <c r="C4" s="9" t="n">
        <v>41857.91</v>
      </c>
      <c r="D4" s="9" t="n">
        <v>-5200.74</v>
      </c>
      <c r="E4" s="9" t="n">
        <v>-1052.35</v>
      </c>
      <c r="F4" s="9" t="n">
        <v>35604.82</v>
      </c>
      <c r="G4" s="9" t="n">
        <v>131.65</v>
      </c>
      <c r="H4" s="9" t="n">
        <v>7551.93</v>
      </c>
      <c r="I4" s="9" t="n">
        <v>43288.4</v>
      </c>
    </row>
    <row r="5" customFormat="false" ht="15" hidden="false" customHeight="false" outlineLevel="0" collapsed="false">
      <c r="A5" s="8" t="s">
        <v>23</v>
      </c>
      <c r="B5" s="8" t="n">
        <v>37</v>
      </c>
      <c r="C5" s="9" t="n">
        <v>4187.68</v>
      </c>
      <c r="D5" s="9" t="n">
        <v>-687.85</v>
      </c>
      <c r="E5" s="9" t="n">
        <v>0</v>
      </c>
      <c r="F5" s="9" t="n">
        <v>3499.83</v>
      </c>
      <c r="G5" s="9" t="n">
        <v>5.79</v>
      </c>
      <c r="H5" s="9" t="n">
        <v>736.24</v>
      </c>
      <c r="I5" s="9" t="n">
        <v>4241.86</v>
      </c>
    </row>
    <row r="6" customFormat="false" ht="15" hidden="false" customHeight="false" outlineLevel="0" collapsed="false">
      <c r="A6" s="8" t="s">
        <v>24</v>
      </c>
      <c r="B6" s="8" t="n">
        <v>24</v>
      </c>
      <c r="C6" s="9" t="n">
        <v>1989.2</v>
      </c>
      <c r="D6" s="9" t="n">
        <v>-215.98</v>
      </c>
      <c r="E6" s="9" t="n">
        <v>0</v>
      </c>
      <c r="F6" s="9" t="n">
        <v>1773.22</v>
      </c>
      <c r="G6" s="9" t="n">
        <v>0</v>
      </c>
      <c r="H6" s="9" t="n">
        <v>372.33</v>
      </c>
      <c r="I6" s="9" t="n">
        <v>2145.55</v>
      </c>
    </row>
    <row r="7" customFormat="false" ht="15" hidden="false" customHeight="false" outlineLevel="0" collapsed="false">
      <c r="A7" s="8" t="s">
        <v>25</v>
      </c>
      <c r="B7" s="8" t="n">
        <v>1</v>
      </c>
      <c r="C7" s="9" t="n">
        <v>101.24</v>
      </c>
      <c r="D7" s="9" t="n">
        <v>0</v>
      </c>
      <c r="E7" s="9" t="n">
        <v>0</v>
      </c>
      <c r="F7" s="9" t="n">
        <v>101.24</v>
      </c>
      <c r="G7" s="9" t="n">
        <v>0</v>
      </c>
      <c r="H7" s="9" t="n">
        <v>21.25</v>
      </c>
      <c r="I7" s="9" t="n">
        <v>122.49</v>
      </c>
    </row>
    <row r="8" customFormat="false" ht="15" hidden="false" customHeight="false" outlineLevel="0" collapsed="false">
      <c r="A8" s="8" t="s">
        <v>26</v>
      </c>
      <c r="B8" s="8" t="n">
        <v>1</v>
      </c>
      <c r="C8" s="9" t="n">
        <v>130.59</v>
      </c>
      <c r="D8" s="9" t="n">
        <v>-13.05</v>
      </c>
      <c r="E8" s="9" t="n">
        <v>0</v>
      </c>
      <c r="F8" s="9" t="n">
        <v>117.54</v>
      </c>
      <c r="G8" s="9" t="n">
        <v>6.41</v>
      </c>
      <c r="H8" s="9" t="n">
        <v>26.03</v>
      </c>
      <c r="I8" s="9" t="n">
        <v>149.98</v>
      </c>
    </row>
    <row r="9" customFormat="false" ht="15" hidden="false" customHeight="false" outlineLevel="0" collapsed="false">
      <c r="A9" s="6" t="s">
        <v>27</v>
      </c>
      <c r="B9" s="6" t="n">
        <f aca="false">SUM(B4:B8)</f>
        <v>479</v>
      </c>
      <c r="C9" s="4" t="n">
        <f aca="false">SUM(C4:C8)</f>
        <v>48266.62</v>
      </c>
      <c r="D9" s="4" t="n">
        <f aca="false">SUM(D4:D8)</f>
        <v>-6117.62</v>
      </c>
      <c r="E9" s="4" t="n">
        <f aca="false">SUM(E4:E8)</f>
        <v>-1052.35</v>
      </c>
      <c r="F9" s="4" t="n">
        <f aca="false">SUM(F4:F8)</f>
        <v>41096.65</v>
      </c>
      <c r="G9" s="4" t="n">
        <f aca="false">SUM(G4:G8)</f>
        <v>143.85</v>
      </c>
      <c r="H9" s="4" t="n">
        <f aca="false">SUM(H4:H8)</f>
        <v>8707.78</v>
      </c>
      <c r="I9" s="4" t="n">
        <f aca="false">SUM(I4:I8)</f>
        <v>49948.28</v>
      </c>
    </row>
    <row r="11" customFormat="false" ht="15" hidden="false" customHeight="false" outlineLevel="0" collapsed="false">
      <c r="A11" s="6" t="s">
        <v>28</v>
      </c>
    </row>
    <row r="12" customFormat="false" ht="39.55" hidden="false" customHeight="false" outlineLevel="0" collapsed="false">
      <c r="A12" s="7" t="s">
        <v>29</v>
      </c>
      <c r="B12" s="7" t="s">
        <v>14</v>
      </c>
      <c r="C12" s="7" t="s">
        <v>30</v>
      </c>
      <c r="D12" s="7" t="s">
        <v>18</v>
      </c>
      <c r="E12" s="7" t="s">
        <v>31</v>
      </c>
      <c r="F12" s="7" t="s">
        <v>32</v>
      </c>
      <c r="G12" s="7" t="s">
        <v>33</v>
      </c>
      <c r="H12" s="7" t="s">
        <v>34</v>
      </c>
    </row>
    <row r="13" customFormat="false" ht="15" hidden="false" customHeight="false" outlineLevel="0" collapsed="false">
      <c r="A13" s="8" t="s">
        <v>35</v>
      </c>
      <c r="B13" s="8" t="n">
        <v>19</v>
      </c>
      <c r="C13" s="9" t="n">
        <v>1587</v>
      </c>
      <c r="D13" s="9" t="n">
        <f aca="false">C13/1.21</f>
        <v>1311.57024793388</v>
      </c>
      <c r="E13" s="9" t="n">
        <f aca="false">C13-D13</f>
        <v>275.429752066116</v>
      </c>
      <c r="F13" s="9" t="n">
        <v>209.49</v>
      </c>
      <c r="G13" s="9" t="n">
        <v>116.33</v>
      </c>
      <c r="H13" s="9" t="n">
        <v>9.33</v>
      </c>
    </row>
    <row r="14" customFormat="false" ht="15" hidden="false" customHeight="false" outlineLevel="0" collapsed="false">
      <c r="A14" s="8" t="s">
        <v>36</v>
      </c>
      <c r="B14" s="8" t="n">
        <v>16</v>
      </c>
      <c r="C14" s="9" t="n">
        <v>1866</v>
      </c>
      <c r="D14" s="9" t="n">
        <f aca="false">C14/1.21</f>
        <v>1542.14876033058</v>
      </c>
      <c r="E14" s="9" t="n">
        <f aca="false">C14-D14</f>
        <v>323.851239669421</v>
      </c>
      <c r="F14" s="9" t="n">
        <v>222.12</v>
      </c>
      <c r="G14" s="9" t="n">
        <v>83.67</v>
      </c>
      <c r="H14" s="9" t="n">
        <v>3.64</v>
      </c>
    </row>
    <row r="15" customFormat="false" ht="15" hidden="false" customHeight="false" outlineLevel="0" collapsed="false">
      <c r="A15" s="8" t="s">
        <v>37</v>
      </c>
      <c r="B15" s="8" t="n">
        <v>12</v>
      </c>
      <c r="C15" s="9" t="n">
        <v>1181.97</v>
      </c>
      <c r="D15" s="9" t="n">
        <f aca="false">C15/1.21</f>
        <v>976.834710743802</v>
      </c>
      <c r="E15" s="9" t="n">
        <f aca="false">C15-D15</f>
        <v>205.135289256198</v>
      </c>
      <c r="F15" s="9" t="n">
        <v>107.37</v>
      </c>
      <c r="G15" s="9" t="n">
        <v>0</v>
      </c>
      <c r="H15" s="9" t="n">
        <v>4</v>
      </c>
    </row>
    <row r="16" customFormat="false" ht="15" hidden="false" customHeight="false" outlineLevel="0" collapsed="false">
      <c r="A16" s="6" t="s">
        <v>38</v>
      </c>
      <c r="B16" s="6" t="n">
        <f aca="false">SUM(B13:B15)</f>
        <v>47</v>
      </c>
      <c r="C16" s="4" t="n">
        <f aca="false">SUM(C13:C15)</f>
        <v>4634.97</v>
      </c>
      <c r="D16" s="4" t="n">
        <f aca="false">SUM(D13:D15)</f>
        <v>3830.55371900826</v>
      </c>
      <c r="E16" s="4" t="n">
        <f aca="false">SUM(E13:E15)</f>
        <v>804.416280991735</v>
      </c>
      <c r="F16" s="4" t="n">
        <f aca="false">SUM(F13:F15)</f>
        <v>538.98</v>
      </c>
      <c r="G16" s="4" t="n">
        <f aca="false">SUM(G13:G15)</f>
        <v>200</v>
      </c>
      <c r="H16" s="4" t="n">
        <f aca="false">SUM(H13:H15)</f>
        <v>16.97</v>
      </c>
    </row>
    <row r="18" customFormat="false" ht="15" hidden="false" customHeight="false" outlineLevel="0" collapsed="false">
      <c r="A18" s="6" t="s">
        <v>39</v>
      </c>
    </row>
    <row r="19" customFormat="false" ht="26.85" hidden="false" customHeight="false" outlineLevel="0" collapsed="false">
      <c r="A19" s="7" t="s">
        <v>40</v>
      </c>
      <c r="B19" s="7" t="s">
        <v>15</v>
      </c>
      <c r="C19" s="7" t="s">
        <v>41</v>
      </c>
      <c r="D19" s="7" t="s">
        <v>42</v>
      </c>
    </row>
    <row r="20" customFormat="false" ht="15" hidden="false" customHeight="false" outlineLevel="0" collapsed="false">
      <c r="A20" s="8" t="s">
        <v>43</v>
      </c>
      <c r="B20" s="9" t="n">
        <v>50404.23</v>
      </c>
      <c r="C20" s="9" t="n">
        <v>-1112.9</v>
      </c>
      <c r="D20" s="9" t="n">
        <v>49291.33</v>
      </c>
    </row>
    <row r="21" customFormat="false" ht="15" hidden="false" customHeight="false" outlineLevel="0" collapsed="false">
      <c r="A21" s="8" t="s">
        <v>44</v>
      </c>
      <c r="B21" s="9" t="n">
        <v>580.47</v>
      </c>
      <c r="C21" s="9" t="n">
        <v>0</v>
      </c>
      <c r="D21" s="9" t="n">
        <v>580.47</v>
      </c>
    </row>
    <row r="22" customFormat="false" ht="15" hidden="false" customHeight="false" outlineLevel="0" collapsed="false">
      <c r="A22" s="8" t="s">
        <v>45</v>
      </c>
      <c r="B22" s="9" t="n">
        <v>185.62</v>
      </c>
      <c r="C22" s="9" t="n">
        <v>0</v>
      </c>
      <c r="D22" s="9" t="n">
        <v>185.62</v>
      </c>
    </row>
    <row r="23" customFormat="false" ht="15" hidden="false" customHeight="false" outlineLevel="0" collapsed="false">
      <c r="A23" s="8" t="s">
        <v>46</v>
      </c>
      <c r="B23" s="9" t="n">
        <v>0</v>
      </c>
      <c r="C23" s="9" t="n">
        <v>-109.14</v>
      </c>
      <c r="D23" s="9" t="n">
        <v>-109.14</v>
      </c>
    </row>
    <row r="25" customFormat="false" ht="15" hidden="false" customHeight="false" outlineLevel="0" collapsed="false">
      <c r="A25" s="2" t="s">
        <v>47</v>
      </c>
      <c r="D25" s="10" t="n">
        <v>1325.85</v>
      </c>
    </row>
    <row r="26" customFormat="false" ht="15" hidden="false" customHeight="false" outlineLevel="0" collapsed="false">
      <c r="A26" s="2" t="s">
        <v>48</v>
      </c>
      <c r="D26" s="10" t="n">
        <f aca="false">D20-D25</f>
        <v>47965.48</v>
      </c>
    </row>
    <row r="27" customFormat="false" ht="15" hidden="false" customHeight="false" outlineLevel="0" collapsed="false">
      <c r="A27" s="2" t="s">
        <v>49</v>
      </c>
      <c r="D27" s="10" t="n">
        <v>49748.35</v>
      </c>
    </row>
    <row r="28" customFormat="false" ht="15" hidden="false" customHeight="false" outlineLevel="0" collapsed="false">
      <c r="A28" s="2" t="s">
        <v>50</v>
      </c>
      <c r="D28" s="10" t="n">
        <f aca="false">D27-D26</f>
        <v>1782.87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10"/>
    <col collapsed="false" customWidth="true" hidden="false" outlineLevel="0" max="3" min="3" style="0" width="34"/>
    <col collapsed="false" customWidth="true" hidden="false" outlineLevel="0" max="4" min="4" style="0" width="26"/>
    <col collapsed="false" customWidth="true" hidden="false" outlineLevel="0" max="5" min="5" style="0" width="10"/>
    <col collapsed="false" customWidth="true" hidden="false" outlineLevel="0" max="6" min="6" style="0" width="16"/>
    <col collapsed="false" customWidth="true" hidden="false" outlineLevel="0" max="7" min="7" style="0" width="30"/>
    <col collapsed="false" customWidth="true" hidden="false" outlineLevel="0" max="9" min="8" style="0" width="14"/>
    <col collapsed="false" customWidth="true" hidden="false" outlineLevel="0" max="10" min="10" style="0" width="12"/>
  </cols>
  <sheetData>
    <row r="1" customFormat="false" ht="15" hidden="false" customHeight="false" outlineLevel="0" collapsed="false">
      <c r="A1" s="6" t="s">
        <v>51</v>
      </c>
    </row>
    <row r="3" customFormat="false" ht="26.85" hidden="false" customHeight="false" outlineLevel="0" collapsed="false">
      <c r="A3" s="7" t="s">
        <v>52</v>
      </c>
      <c r="B3" s="7" t="s">
        <v>53</v>
      </c>
      <c r="C3" s="7" t="s">
        <v>54</v>
      </c>
      <c r="D3" s="7" t="s">
        <v>55</v>
      </c>
      <c r="E3" s="7" t="s">
        <v>56</v>
      </c>
      <c r="F3" s="7" t="s">
        <v>57</v>
      </c>
      <c r="G3" s="7" t="s">
        <v>58</v>
      </c>
      <c r="H3" s="7" t="s">
        <v>59</v>
      </c>
      <c r="I3" s="7" t="s">
        <v>60</v>
      </c>
      <c r="J3" s="7" t="s">
        <v>20</v>
      </c>
    </row>
    <row r="4" customFormat="false" ht="15" hidden="false" customHeight="false" outlineLevel="0" collapsed="false">
      <c r="A4" s="8" t="s">
        <v>61</v>
      </c>
      <c r="B4" s="8" t="s">
        <v>62</v>
      </c>
      <c r="C4" s="8" t="s">
        <v>63</v>
      </c>
      <c r="D4" s="8" t="s">
        <v>64</v>
      </c>
      <c r="E4" s="8" t="s">
        <v>65</v>
      </c>
      <c r="F4" s="8" t="s">
        <v>66</v>
      </c>
      <c r="G4" s="8" t="s">
        <v>67</v>
      </c>
      <c r="H4" s="9" t="n">
        <v>800</v>
      </c>
      <c r="I4" s="10" t="n">
        <f aca="false">H4</f>
        <v>800</v>
      </c>
      <c r="J4" s="10" t="n">
        <f aca="false">I4*0.21</f>
        <v>168</v>
      </c>
    </row>
    <row r="5" customFormat="false" ht="15" hidden="false" customHeight="false" outlineLevel="0" collapsed="false">
      <c r="A5" s="8" t="s">
        <v>61</v>
      </c>
      <c r="B5" s="8" t="s">
        <v>62</v>
      </c>
      <c r="C5" s="8" t="s">
        <v>68</v>
      </c>
      <c r="D5" s="8" t="s">
        <v>69</v>
      </c>
      <c r="E5" s="8" t="s">
        <v>65</v>
      </c>
      <c r="F5" s="8" t="s">
        <v>66</v>
      </c>
      <c r="G5" s="8" t="s">
        <v>67</v>
      </c>
      <c r="H5" s="9" t="n">
        <v>75.9</v>
      </c>
      <c r="I5" s="10" t="n">
        <f aca="false">H5</f>
        <v>75.9</v>
      </c>
      <c r="J5" s="10" t="n">
        <f aca="false">I5*0.21</f>
        <v>15.939</v>
      </c>
    </row>
    <row r="6" customFormat="false" ht="15" hidden="false" customHeight="false" outlineLevel="0" collapsed="false">
      <c r="A6" s="8" t="s">
        <v>61</v>
      </c>
      <c r="B6" s="8" t="s">
        <v>62</v>
      </c>
      <c r="C6" s="8" t="s">
        <v>70</v>
      </c>
      <c r="D6" s="8" t="s">
        <v>69</v>
      </c>
      <c r="E6" s="8" t="s">
        <v>71</v>
      </c>
      <c r="F6" s="8" t="s">
        <v>72</v>
      </c>
      <c r="G6" s="8" t="s">
        <v>73</v>
      </c>
      <c r="H6" s="9" t="n">
        <v>2.42</v>
      </c>
      <c r="I6" s="10" t="n">
        <f aca="false">H6/1.21</f>
        <v>2</v>
      </c>
      <c r="J6" s="10" t="n">
        <f aca="false">H6-I6</f>
        <v>0.42</v>
      </c>
    </row>
    <row r="7" customFormat="false" ht="15" hidden="false" customHeight="false" outlineLevel="0" collapsed="false">
      <c r="A7" s="8" t="s">
        <v>61</v>
      </c>
      <c r="B7" s="8" t="s">
        <v>74</v>
      </c>
      <c r="C7" s="8" t="s">
        <v>75</v>
      </c>
      <c r="D7" s="8" t="s">
        <v>76</v>
      </c>
      <c r="E7" s="8" t="s">
        <v>65</v>
      </c>
      <c r="F7" s="8" t="s">
        <v>66</v>
      </c>
      <c r="G7" s="8" t="s">
        <v>67</v>
      </c>
      <c r="H7" s="9" t="n">
        <v>158.5</v>
      </c>
      <c r="I7" s="10" t="n">
        <f aca="false">H7</f>
        <v>158.5</v>
      </c>
      <c r="J7" s="10" t="n">
        <f aca="false">I7*0.21</f>
        <v>33.285</v>
      </c>
    </row>
    <row r="8" customFormat="false" ht="15" hidden="false" customHeight="false" outlineLevel="0" collapsed="false">
      <c r="A8" s="8" t="s">
        <v>77</v>
      </c>
      <c r="B8" s="8" t="s">
        <v>74</v>
      </c>
      <c r="C8" s="8" t="s">
        <v>78</v>
      </c>
      <c r="D8" s="8" t="s">
        <v>79</v>
      </c>
      <c r="E8" s="8" t="s">
        <v>80</v>
      </c>
      <c r="F8" s="8" t="s">
        <v>81</v>
      </c>
      <c r="G8" s="8" t="s">
        <v>82</v>
      </c>
      <c r="H8" s="9" t="n">
        <v>86</v>
      </c>
      <c r="I8" s="10" t="n">
        <f aca="false">H8</f>
        <v>86</v>
      </c>
      <c r="J8" s="10" t="n">
        <f aca="false">I8*0.21</f>
        <v>18.06</v>
      </c>
    </row>
    <row r="9" customFormat="false" ht="15" hidden="false" customHeight="false" outlineLevel="0" collapsed="false">
      <c r="A9" s="8" t="s">
        <v>83</v>
      </c>
      <c r="B9" s="8" t="s">
        <v>62</v>
      </c>
      <c r="C9" s="8" t="s">
        <v>84</v>
      </c>
      <c r="D9" s="8" t="s">
        <v>85</v>
      </c>
      <c r="E9" s="8" t="s">
        <v>71</v>
      </c>
      <c r="F9" s="8" t="s">
        <v>72</v>
      </c>
      <c r="G9" s="8" t="s">
        <v>73</v>
      </c>
      <c r="H9" s="9" t="n">
        <v>242</v>
      </c>
      <c r="I9" s="10" t="n">
        <f aca="false">H9/1.21</f>
        <v>200</v>
      </c>
      <c r="J9" s="10" t="n">
        <f aca="false">H9-I9</f>
        <v>42</v>
      </c>
    </row>
    <row r="10" customFormat="false" ht="15" hidden="false" customHeight="false" outlineLevel="0" collapsed="false">
      <c r="A10" s="8" t="s">
        <v>83</v>
      </c>
      <c r="B10" s="8" t="s">
        <v>62</v>
      </c>
      <c r="C10" s="8" t="s">
        <v>84</v>
      </c>
      <c r="D10" s="8" t="s">
        <v>85</v>
      </c>
      <c r="E10" s="8" t="s">
        <v>71</v>
      </c>
      <c r="F10" s="8" t="s">
        <v>72</v>
      </c>
      <c r="G10" s="8" t="s">
        <v>73</v>
      </c>
      <c r="H10" s="9" t="n">
        <v>242</v>
      </c>
      <c r="I10" s="10" t="n">
        <f aca="false">H10/1.21</f>
        <v>200</v>
      </c>
      <c r="J10" s="10" t="n">
        <f aca="false">H10-I10</f>
        <v>42</v>
      </c>
    </row>
    <row r="11" customFormat="false" ht="15" hidden="false" customHeight="false" outlineLevel="0" collapsed="false">
      <c r="A11" s="8" t="s">
        <v>83</v>
      </c>
      <c r="B11" s="8" t="s">
        <v>62</v>
      </c>
      <c r="C11" s="8" t="s">
        <v>86</v>
      </c>
      <c r="D11" s="8" t="s">
        <v>87</v>
      </c>
      <c r="E11" s="8" t="s">
        <v>71</v>
      </c>
      <c r="F11" s="8" t="s">
        <v>72</v>
      </c>
      <c r="G11" s="8" t="s">
        <v>73</v>
      </c>
      <c r="H11" s="9" t="n">
        <v>527.83</v>
      </c>
      <c r="I11" s="10" t="n">
        <f aca="false">H11/1.21</f>
        <v>436.223140495868</v>
      </c>
      <c r="J11" s="10" t="n">
        <f aca="false">H11-I11</f>
        <v>91.6068595041322</v>
      </c>
    </row>
    <row r="12" customFormat="false" ht="15" hidden="false" customHeight="false" outlineLevel="0" collapsed="false">
      <c r="A12" s="8" t="s">
        <v>83</v>
      </c>
      <c r="B12" s="8" t="s">
        <v>62</v>
      </c>
      <c r="C12" s="8" t="s">
        <v>88</v>
      </c>
      <c r="D12" s="8" t="s">
        <v>89</v>
      </c>
      <c r="E12" s="8" t="s">
        <v>71</v>
      </c>
      <c r="F12" s="8" t="s">
        <v>72</v>
      </c>
      <c r="G12" s="8" t="s">
        <v>73</v>
      </c>
      <c r="H12" s="9" t="n">
        <v>75.78</v>
      </c>
      <c r="I12" s="10" t="n">
        <f aca="false">H12/1.21</f>
        <v>62.6280991735537</v>
      </c>
      <c r="J12" s="10" t="n">
        <f aca="false">H12-I12</f>
        <v>13.1519008264463</v>
      </c>
    </row>
    <row r="13" customFormat="false" ht="15" hidden="false" customHeight="false" outlineLevel="0" collapsed="false">
      <c r="A13" s="8" t="s">
        <v>83</v>
      </c>
      <c r="B13" s="8" t="s">
        <v>62</v>
      </c>
      <c r="C13" s="8" t="s">
        <v>90</v>
      </c>
      <c r="D13" s="8" t="s">
        <v>91</v>
      </c>
      <c r="E13" s="8" t="s">
        <v>92</v>
      </c>
      <c r="F13" s="8" t="s">
        <v>93</v>
      </c>
      <c r="G13" s="8" t="s">
        <v>94</v>
      </c>
      <c r="H13" s="9" t="n">
        <v>91.84</v>
      </c>
      <c r="I13" s="10" t="n">
        <f aca="false">H13</f>
        <v>91.84</v>
      </c>
      <c r="J13" s="10" t="n">
        <v>0</v>
      </c>
    </row>
    <row r="14" customFormat="false" ht="15" hidden="false" customHeight="false" outlineLevel="0" collapsed="false">
      <c r="A14" s="8" t="s">
        <v>83</v>
      </c>
      <c r="B14" s="8" t="s">
        <v>62</v>
      </c>
      <c r="C14" s="8" t="s">
        <v>88</v>
      </c>
      <c r="D14" s="8" t="s">
        <v>89</v>
      </c>
      <c r="E14" s="8" t="s">
        <v>71</v>
      </c>
      <c r="F14" s="8" t="s">
        <v>72</v>
      </c>
      <c r="G14" s="8" t="s">
        <v>73</v>
      </c>
      <c r="H14" s="9" t="n">
        <v>18.95</v>
      </c>
      <c r="I14" s="10" t="n">
        <f aca="false">H14/1.21</f>
        <v>15.6611570247934</v>
      </c>
      <c r="J14" s="10" t="n">
        <f aca="false">H14-I14</f>
        <v>3.28884297520661</v>
      </c>
    </row>
    <row r="15" customFormat="false" ht="15" hidden="false" customHeight="false" outlineLevel="0" collapsed="false">
      <c r="A15" s="8" t="s">
        <v>95</v>
      </c>
      <c r="B15" s="8" t="s">
        <v>62</v>
      </c>
      <c r="C15" s="8" t="s">
        <v>96</v>
      </c>
      <c r="D15" s="8" t="s">
        <v>64</v>
      </c>
      <c r="E15" s="8" t="s">
        <v>65</v>
      </c>
      <c r="F15" s="8" t="s">
        <v>66</v>
      </c>
      <c r="G15" s="8" t="s">
        <v>67</v>
      </c>
      <c r="H15" s="9" t="n">
        <v>800</v>
      </c>
      <c r="I15" s="10" t="n">
        <f aca="false">H15</f>
        <v>800</v>
      </c>
      <c r="J15" s="10" t="n">
        <f aca="false">I15*0.21</f>
        <v>168</v>
      </c>
    </row>
    <row r="16" customFormat="false" ht="15" hidden="false" customHeight="false" outlineLevel="0" collapsed="false">
      <c r="A16" s="8" t="s">
        <v>97</v>
      </c>
      <c r="B16" s="8" t="s">
        <v>98</v>
      </c>
      <c r="C16" s="8" t="s">
        <v>99</v>
      </c>
      <c r="D16" s="8" t="s">
        <v>69</v>
      </c>
      <c r="E16" s="8" t="s">
        <v>100</v>
      </c>
      <c r="F16" s="8" t="s">
        <v>101</v>
      </c>
      <c r="G16" s="8" t="s">
        <v>102</v>
      </c>
      <c r="H16" s="9" t="n">
        <v>35</v>
      </c>
      <c r="I16" s="10" t="n">
        <f aca="false">H16</f>
        <v>35</v>
      </c>
      <c r="J16" s="10" t="n">
        <v>0</v>
      </c>
    </row>
    <row r="17" customFormat="false" ht="15" hidden="false" customHeight="false" outlineLevel="0" collapsed="false">
      <c r="A17" s="8" t="s">
        <v>97</v>
      </c>
      <c r="B17" s="8" t="s">
        <v>62</v>
      </c>
      <c r="C17" s="8" t="s">
        <v>103</v>
      </c>
      <c r="D17" s="8" t="s">
        <v>64</v>
      </c>
      <c r="E17" s="8" t="s">
        <v>65</v>
      </c>
      <c r="F17" s="8" t="s">
        <v>66</v>
      </c>
      <c r="G17" s="8" t="s">
        <v>67</v>
      </c>
      <c r="H17" s="9" t="n">
        <v>278.57</v>
      </c>
      <c r="I17" s="10" t="n">
        <f aca="false">H17</f>
        <v>278.57</v>
      </c>
      <c r="J17" s="10" t="n">
        <f aca="false">I17*0.21</f>
        <v>58.4997</v>
      </c>
    </row>
    <row r="18" customFormat="false" ht="15" hidden="false" customHeight="false" outlineLevel="0" collapsed="false">
      <c r="A18" s="8" t="s">
        <v>97</v>
      </c>
      <c r="B18" s="8" t="s">
        <v>74</v>
      </c>
      <c r="C18" s="8" t="s">
        <v>104</v>
      </c>
      <c r="D18" s="8" t="s">
        <v>105</v>
      </c>
      <c r="E18" s="8" t="s">
        <v>65</v>
      </c>
      <c r="F18" s="8" t="s">
        <v>66</v>
      </c>
      <c r="G18" s="8" t="s">
        <v>67</v>
      </c>
      <c r="H18" s="9" t="n">
        <v>41.98</v>
      </c>
      <c r="I18" s="10" t="n">
        <f aca="false">H18</f>
        <v>41.98</v>
      </c>
      <c r="J18" s="10" t="n">
        <f aca="false">I18*0.21</f>
        <v>8.8158</v>
      </c>
    </row>
    <row r="19" customFormat="false" ht="15" hidden="false" customHeight="false" outlineLevel="0" collapsed="false">
      <c r="A19" s="8" t="s">
        <v>106</v>
      </c>
      <c r="B19" s="8" t="s">
        <v>62</v>
      </c>
      <c r="C19" s="8" t="s">
        <v>107</v>
      </c>
      <c r="D19" s="8" t="s">
        <v>87</v>
      </c>
      <c r="E19" s="8" t="s">
        <v>71</v>
      </c>
      <c r="F19" s="8" t="s">
        <v>72</v>
      </c>
      <c r="G19" s="8" t="s">
        <v>73</v>
      </c>
      <c r="H19" s="9" t="n">
        <v>261.04</v>
      </c>
      <c r="I19" s="10" t="n">
        <f aca="false">H19/1.21</f>
        <v>215.735537190083</v>
      </c>
      <c r="J19" s="10" t="n">
        <f aca="false">H19-I19</f>
        <v>45.3044628099173</v>
      </c>
    </row>
    <row r="20" customFormat="false" ht="15" hidden="false" customHeight="false" outlineLevel="0" collapsed="false">
      <c r="A20" s="8" t="s">
        <v>106</v>
      </c>
      <c r="B20" s="8" t="s">
        <v>62</v>
      </c>
      <c r="C20" s="8" t="s">
        <v>107</v>
      </c>
      <c r="D20" s="8" t="s">
        <v>87</v>
      </c>
      <c r="E20" s="8" t="s">
        <v>71</v>
      </c>
      <c r="F20" s="8" t="s">
        <v>72</v>
      </c>
      <c r="G20" s="8" t="s">
        <v>73</v>
      </c>
      <c r="H20" s="9" t="n">
        <v>364.58</v>
      </c>
      <c r="I20" s="10" t="n">
        <f aca="false">H20/1.21</f>
        <v>301.305785123967</v>
      </c>
      <c r="J20" s="10" t="n">
        <f aca="false">H20-I20</f>
        <v>63.2742148760331</v>
      </c>
    </row>
    <row r="21" customFormat="false" ht="15" hidden="false" customHeight="false" outlineLevel="0" collapsed="false">
      <c r="A21" s="8" t="s">
        <v>108</v>
      </c>
      <c r="B21" s="8" t="s">
        <v>74</v>
      </c>
      <c r="C21" s="8" t="s">
        <v>109</v>
      </c>
      <c r="D21" s="8" t="s">
        <v>69</v>
      </c>
      <c r="E21" s="8" t="s">
        <v>80</v>
      </c>
      <c r="F21" s="8" t="s">
        <v>81</v>
      </c>
      <c r="G21" s="8" t="s">
        <v>82</v>
      </c>
      <c r="H21" s="9" t="n">
        <v>53.5</v>
      </c>
      <c r="I21" s="10" t="n">
        <f aca="false">H21</f>
        <v>53.5</v>
      </c>
      <c r="J21" s="10" t="n">
        <f aca="false">I21*0.21</f>
        <v>11.235</v>
      </c>
    </row>
    <row r="22" customFormat="false" ht="15" hidden="false" customHeight="false" outlineLevel="0" collapsed="false">
      <c r="A22" s="8" t="s">
        <v>110</v>
      </c>
      <c r="B22" s="8" t="s">
        <v>74</v>
      </c>
      <c r="C22" s="8" t="s">
        <v>111</v>
      </c>
      <c r="D22" s="8" t="s">
        <v>69</v>
      </c>
      <c r="E22" s="8" t="s">
        <v>65</v>
      </c>
      <c r="F22" s="8" t="s">
        <v>66</v>
      </c>
      <c r="G22" s="8" t="s">
        <v>67</v>
      </c>
      <c r="H22" s="9" t="n">
        <v>141.39</v>
      </c>
      <c r="I22" s="10" t="n">
        <f aca="false">H22</f>
        <v>141.39</v>
      </c>
      <c r="J22" s="10" t="n">
        <f aca="false">I22*0.21</f>
        <v>29.6919</v>
      </c>
    </row>
    <row r="23" customFormat="false" ht="15" hidden="false" customHeight="false" outlineLevel="0" collapsed="false">
      <c r="A23" s="8" t="s">
        <v>112</v>
      </c>
      <c r="B23" s="8" t="s">
        <v>74</v>
      </c>
      <c r="C23" s="8" t="s">
        <v>75</v>
      </c>
      <c r="D23" s="8" t="s">
        <v>76</v>
      </c>
      <c r="E23" s="8" t="s">
        <v>65</v>
      </c>
      <c r="F23" s="8" t="s">
        <v>66</v>
      </c>
      <c r="G23" s="8" t="s">
        <v>67</v>
      </c>
      <c r="H23" s="9" t="n">
        <v>500</v>
      </c>
      <c r="I23" s="10" t="n">
        <f aca="false">H23</f>
        <v>500</v>
      </c>
      <c r="J23" s="10" t="n">
        <f aca="false">I23*0.21</f>
        <v>105</v>
      </c>
    </row>
    <row r="24" customFormat="false" ht="15" hidden="false" customHeight="false" outlineLevel="0" collapsed="false">
      <c r="A24" s="8" t="s">
        <v>113</v>
      </c>
      <c r="B24" s="8" t="s">
        <v>62</v>
      </c>
      <c r="C24" s="8" t="s">
        <v>114</v>
      </c>
      <c r="D24" s="8" t="s">
        <v>64</v>
      </c>
      <c r="E24" s="8" t="s">
        <v>65</v>
      </c>
      <c r="F24" s="8" t="s">
        <v>66</v>
      </c>
      <c r="G24" s="8" t="s">
        <v>67</v>
      </c>
      <c r="H24" s="9" t="n">
        <v>800</v>
      </c>
      <c r="I24" s="10" t="n">
        <f aca="false">H24</f>
        <v>800</v>
      </c>
      <c r="J24" s="10" t="n">
        <f aca="false">I24*0.21</f>
        <v>168</v>
      </c>
    </row>
    <row r="25" customFormat="false" ht="15" hidden="false" customHeight="false" outlineLevel="0" collapsed="false">
      <c r="A25" s="8" t="s">
        <v>115</v>
      </c>
      <c r="B25" s="8" t="s">
        <v>74</v>
      </c>
      <c r="C25" s="8" t="s">
        <v>116</v>
      </c>
      <c r="D25" s="8" t="s">
        <v>117</v>
      </c>
      <c r="E25" s="8" t="s">
        <v>118</v>
      </c>
      <c r="F25" s="8" t="s">
        <v>119</v>
      </c>
      <c r="G25" s="8" t="s">
        <v>120</v>
      </c>
      <c r="H25" s="9" t="n">
        <v>200</v>
      </c>
      <c r="I25" s="10" t="n">
        <f aca="false">H25</f>
        <v>200</v>
      </c>
      <c r="J25" s="10" t="n">
        <v>0</v>
      </c>
    </row>
    <row r="26" customFormat="false" ht="15" hidden="false" customHeight="false" outlineLevel="0" collapsed="false">
      <c r="A26" s="8" t="s">
        <v>121</v>
      </c>
      <c r="B26" s="8" t="s">
        <v>62</v>
      </c>
      <c r="C26" s="8" t="s">
        <v>122</v>
      </c>
      <c r="D26" s="8" t="s">
        <v>123</v>
      </c>
      <c r="E26" s="8" t="s">
        <v>118</v>
      </c>
      <c r="F26" s="8" t="s">
        <v>119</v>
      </c>
      <c r="G26" s="8" t="s">
        <v>120</v>
      </c>
      <c r="H26" s="9" t="n">
        <v>525.23</v>
      </c>
      <c r="I26" s="10" t="n">
        <f aca="false">H26</f>
        <v>525.23</v>
      </c>
      <c r="J26" s="10" t="n">
        <v>0</v>
      </c>
    </row>
    <row r="27" customFormat="false" ht="15" hidden="false" customHeight="false" outlineLevel="0" collapsed="false">
      <c r="A27" s="8" t="s">
        <v>121</v>
      </c>
      <c r="B27" s="8" t="s">
        <v>62</v>
      </c>
      <c r="C27" s="8" t="s">
        <v>122</v>
      </c>
      <c r="D27" s="8" t="s">
        <v>124</v>
      </c>
      <c r="E27" s="8" t="s">
        <v>100</v>
      </c>
      <c r="F27" s="8" t="s">
        <v>101</v>
      </c>
      <c r="G27" s="8" t="s">
        <v>102</v>
      </c>
      <c r="H27" s="9" t="n">
        <v>63.64</v>
      </c>
      <c r="I27" s="10" t="n">
        <f aca="false">H27</f>
        <v>63.64</v>
      </c>
      <c r="J27" s="10" t="n">
        <v>0</v>
      </c>
    </row>
    <row r="28" customFormat="false" ht="15" hidden="false" customHeight="false" outlineLevel="0" collapsed="false">
      <c r="A28" s="8" t="s">
        <v>125</v>
      </c>
      <c r="B28" s="8" t="s">
        <v>62</v>
      </c>
      <c r="C28" s="8" t="s">
        <v>126</v>
      </c>
      <c r="D28" s="8" t="s">
        <v>20</v>
      </c>
      <c r="E28" s="8" t="s">
        <v>118</v>
      </c>
      <c r="F28" s="8" t="s">
        <v>119</v>
      </c>
      <c r="G28" s="8" t="s">
        <v>127</v>
      </c>
      <c r="H28" s="9" t="n">
        <v>3410.76</v>
      </c>
      <c r="I28" s="10" t="n">
        <f aca="false">H28</f>
        <v>3410.76</v>
      </c>
      <c r="J28" s="10" t="n">
        <v>0</v>
      </c>
    </row>
    <row r="29" customFormat="false" ht="15" hidden="false" customHeight="false" outlineLevel="0" collapsed="false">
      <c r="A29" s="8" t="s">
        <v>125</v>
      </c>
      <c r="B29" s="8" t="s">
        <v>62</v>
      </c>
      <c r="C29" s="8" t="s">
        <v>128</v>
      </c>
      <c r="D29" s="8" t="s">
        <v>64</v>
      </c>
      <c r="E29" s="8" t="s">
        <v>65</v>
      </c>
      <c r="F29" s="8" t="s">
        <v>66</v>
      </c>
      <c r="G29" s="8" t="s">
        <v>67</v>
      </c>
      <c r="H29" s="9" t="n">
        <v>800</v>
      </c>
      <c r="I29" s="10" t="n">
        <f aca="false">H29</f>
        <v>800</v>
      </c>
      <c r="J29" s="10" t="n">
        <f aca="false">I29*0.21</f>
        <v>168</v>
      </c>
    </row>
    <row r="30" customFormat="false" ht="15" hidden="false" customHeight="false" outlineLevel="0" collapsed="false">
      <c r="A30" s="8" t="s">
        <v>125</v>
      </c>
      <c r="B30" s="8" t="s">
        <v>62</v>
      </c>
      <c r="C30" s="8" t="s">
        <v>129</v>
      </c>
      <c r="D30" s="8" t="s">
        <v>105</v>
      </c>
      <c r="E30" s="8" t="s">
        <v>80</v>
      </c>
      <c r="F30" s="8" t="s">
        <v>81</v>
      </c>
      <c r="G30" s="8" t="s">
        <v>82</v>
      </c>
      <c r="H30" s="9" t="n">
        <v>72</v>
      </c>
      <c r="I30" s="10" t="n">
        <f aca="false">H30</f>
        <v>72</v>
      </c>
      <c r="J30" s="10" t="n">
        <f aca="false">I30*0.21</f>
        <v>15.12</v>
      </c>
    </row>
    <row r="31" customFormat="false" ht="15" hidden="false" customHeight="false" outlineLevel="0" collapsed="false">
      <c r="A31" s="8" t="s">
        <v>130</v>
      </c>
      <c r="B31" s="8" t="s">
        <v>74</v>
      </c>
      <c r="C31" s="8" t="s">
        <v>131</v>
      </c>
      <c r="D31" s="8" t="s">
        <v>132</v>
      </c>
      <c r="E31" s="8" t="s">
        <v>92</v>
      </c>
      <c r="F31" s="8" t="s">
        <v>93</v>
      </c>
      <c r="G31" s="8" t="s">
        <v>133</v>
      </c>
      <c r="H31" s="9" t="n">
        <v>360</v>
      </c>
      <c r="I31" s="10" t="n">
        <f aca="false">H31</f>
        <v>360</v>
      </c>
      <c r="J31" s="10" t="n">
        <v>0</v>
      </c>
    </row>
    <row r="32" customFormat="false" ht="15" hidden="false" customHeight="false" outlineLevel="0" collapsed="false">
      <c r="A32" s="8" t="s">
        <v>130</v>
      </c>
      <c r="B32" s="8" t="s">
        <v>74</v>
      </c>
      <c r="C32" s="8" t="s">
        <v>131</v>
      </c>
      <c r="D32" s="8" t="s">
        <v>132</v>
      </c>
      <c r="E32" s="8" t="s">
        <v>92</v>
      </c>
      <c r="F32" s="8" t="s">
        <v>93</v>
      </c>
      <c r="G32" s="8" t="s">
        <v>133</v>
      </c>
      <c r="H32" s="9" t="n">
        <v>665</v>
      </c>
      <c r="I32" s="10" t="n">
        <f aca="false">H32</f>
        <v>665</v>
      </c>
      <c r="J32" s="10" t="n">
        <v>0</v>
      </c>
    </row>
    <row r="33" customFormat="false" ht="15" hidden="false" customHeight="false" outlineLevel="0" collapsed="false">
      <c r="A33" s="8" t="s">
        <v>134</v>
      </c>
      <c r="B33" s="8" t="s">
        <v>62</v>
      </c>
      <c r="C33" s="8" t="s">
        <v>135</v>
      </c>
      <c r="D33" s="8" t="s">
        <v>79</v>
      </c>
      <c r="E33" s="8" t="s">
        <v>71</v>
      </c>
      <c r="F33" s="8" t="s">
        <v>72</v>
      </c>
      <c r="G33" s="8" t="s">
        <v>73</v>
      </c>
      <c r="H33" s="9" t="n">
        <v>5.6</v>
      </c>
      <c r="I33" s="10" t="n">
        <f aca="false">H33/1.21</f>
        <v>4.62809917355372</v>
      </c>
      <c r="J33" s="10" t="n">
        <f aca="false">H33-I33</f>
        <v>0.971900826446281</v>
      </c>
    </row>
    <row r="34" customFormat="false" ht="15" hidden="false" customHeight="false" outlineLevel="0" collapsed="false">
      <c r="A34" s="8" t="s">
        <v>134</v>
      </c>
      <c r="B34" s="8" t="s">
        <v>62</v>
      </c>
      <c r="C34" s="8" t="s">
        <v>136</v>
      </c>
      <c r="D34" s="8" t="s">
        <v>137</v>
      </c>
      <c r="E34" s="8" t="s">
        <v>138</v>
      </c>
      <c r="F34" s="8" t="s">
        <v>139</v>
      </c>
      <c r="G34" s="8" t="s">
        <v>140</v>
      </c>
      <c r="H34" s="9" t="n">
        <v>15</v>
      </c>
      <c r="I34" s="10" t="n">
        <f aca="false">H34/1.21</f>
        <v>12.396694214876</v>
      </c>
      <c r="J34" s="10" t="n">
        <f aca="false">H34-I34</f>
        <v>2.60330578512397</v>
      </c>
    </row>
    <row r="35" customFormat="false" ht="15" hidden="false" customHeight="false" outlineLevel="0" collapsed="false">
      <c r="A35" s="8" t="s">
        <v>141</v>
      </c>
      <c r="B35" s="8" t="s">
        <v>62</v>
      </c>
      <c r="C35" s="8" t="s">
        <v>142</v>
      </c>
      <c r="D35" s="8" t="s">
        <v>64</v>
      </c>
      <c r="E35" s="8" t="s">
        <v>65</v>
      </c>
      <c r="F35" s="8" t="s">
        <v>66</v>
      </c>
      <c r="G35" s="8" t="s">
        <v>67</v>
      </c>
      <c r="H35" s="9" t="n">
        <v>800</v>
      </c>
      <c r="I35" s="10" t="n">
        <f aca="false">H35</f>
        <v>800</v>
      </c>
      <c r="J35" s="10" t="n">
        <f aca="false">I35*0.21</f>
        <v>168</v>
      </c>
    </row>
    <row r="36" customFormat="false" ht="15" hidden="false" customHeight="false" outlineLevel="0" collapsed="false">
      <c r="A36" s="8" t="s">
        <v>141</v>
      </c>
      <c r="B36" s="8" t="s">
        <v>62</v>
      </c>
      <c r="C36" s="8" t="s">
        <v>143</v>
      </c>
      <c r="D36" s="8" t="s">
        <v>144</v>
      </c>
      <c r="E36" s="8" t="s">
        <v>92</v>
      </c>
      <c r="F36" s="8" t="s">
        <v>93</v>
      </c>
      <c r="G36" s="8" t="s">
        <v>145</v>
      </c>
      <c r="H36" s="9" t="n">
        <v>210</v>
      </c>
      <c r="I36" s="10" t="n">
        <f aca="false">H36</f>
        <v>210</v>
      </c>
      <c r="J36" s="10" t="n">
        <v>0</v>
      </c>
    </row>
    <row r="37" customFormat="false" ht="15" hidden="false" customHeight="false" outlineLevel="0" collapsed="false">
      <c r="A37" s="8" t="s">
        <v>141</v>
      </c>
      <c r="B37" s="8" t="s">
        <v>62</v>
      </c>
      <c r="C37" s="8" t="s">
        <v>146</v>
      </c>
      <c r="D37" s="8" t="s">
        <v>147</v>
      </c>
      <c r="E37" s="8" t="s">
        <v>71</v>
      </c>
      <c r="F37" s="8" t="s">
        <v>72</v>
      </c>
      <c r="G37" s="8" t="s">
        <v>73</v>
      </c>
      <c r="H37" s="9" t="n">
        <v>59</v>
      </c>
      <c r="I37" s="10" t="n">
        <f aca="false">H37/1.21</f>
        <v>48.7603305785124</v>
      </c>
      <c r="J37" s="10" t="n">
        <f aca="false">H37-I37</f>
        <v>10.2396694214876</v>
      </c>
    </row>
    <row r="38" customFormat="false" ht="15" hidden="false" customHeight="false" outlineLevel="0" collapsed="false">
      <c r="A38" s="8" t="s">
        <v>141</v>
      </c>
      <c r="B38" s="8" t="s">
        <v>62</v>
      </c>
      <c r="C38" s="8" t="s">
        <v>148</v>
      </c>
      <c r="D38" s="8" t="s">
        <v>149</v>
      </c>
      <c r="E38" s="8" t="s">
        <v>100</v>
      </c>
      <c r="F38" s="8" t="s">
        <v>101</v>
      </c>
      <c r="G38" s="8" t="s">
        <v>102</v>
      </c>
      <c r="H38" s="9" t="n">
        <v>18.47</v>
      </c>
      <c r="I38" s="10" t="n">
        <f aca="false">H38</f>
        <v>18.47</v>
      </c>
      <c r="J38" s="10" t="n">
        <v>0</v>
      </c>
    </row>
    <row r="39" customFormat="false" ht="15" hidden="false" customHeight="false" outlineLevel="0" collapsed="false">
      <c r="A39" s="8" t="s">
        <v>141</v>
      </c>
      <c r="B39" s="8" t="s">
        <v>62</v>
      </c>
      <c r="C39" s="8" t="s">
        <v>150</v>
      </c>
      <c r="D39" s="8" t="s">
        <v>89</v>
      </c>
      <c r="E39" s="8" t="s">
        <v>71</v>
      </c>
      <c r="F39" s="8" t="s">
        <v>72</v>
      </c>
      <c r="G39" s="8" t="s">
        <v>73</v>
      </c>
      <c r="H39" s="9" t="n">
        <v>293.64</v>
      </c>
      <c r="I39" s="10" t="n">
        <f aca="false">H39/1.21</f>
        <v>242.677685950413</v>
      </c>
      <c r="J39" s="10" t="n">
        <f aca="false">H39-I39</f>
        <v>50.9623140495868</v>
      </c>
    </row>
    <row r="40" customFormat="false" ht="15" hidden="false" customHeight="false" outlineLevel="0" collapsed="false">
      <c r="A40" s="8" t="s">
        <v>151</v>
      </c>
      <c r="B40" s="8" t="s">
        <v>62</v>
      </c>
      <c r="C40" s="8" t="s">
        <v>135</v>
      </c>
      <c r="D40" s="8" t="s">
        <v>79</v>
      </c>
      <c r="E40" s="8" t="s">
        <v>71</v>
      </c>
      <c r="F40" s="8" t="s">
        <v>72</v>
      </c>
      <c r="G40" s="8" t="s">
        <v>73</v>
      </c>
      <c r="H40" s="9" t="n">
        <v>7.1</v>
      </c>
      <c r="I40" s="10" t="n">
        <f aca="false">H40/1.21</f>
        <v>5.86776859504132</v>
      </c>
      <c r="J40" s="10" t="n">
        <f aca="false">H40-I40</f>
        <v>1.23223140495868</v>
      </c>
    </row>
    <row r="41" customFormat="false" ht="15" hidden="false" customHeight="false" outlineLevel="0" collapsed="false">
      <c r="A41" s="8" t="s">
        <v>152</v>
      </c>
      <c r="B41" s="8" t="s">
        <v>62</v>
      </c>
      <c r="C41" s="8" t="s">
        <v>153</v>
      </c>
      <c r="D41" s="8" t="s">
        <v>79</v>
      </c>
      <c r="E41" s="8" t="s">
        <v>71</v>
      </c>
      <c r="F41" s="8" t="s">
        <v>72</v>
      </c>
      <c r="G41" s="8" t="s">
        <v>73</v>
      </c>
      <c r="H41" s="9" t="n">
        <v>7.1</v>
      </c>
      <c r="I41" s="10" t="n">
        <f aca="false">H41/1.21</f>
        <v>5.86776859504132</v>
      </c>
      <c r="J41" s="10" t="n">
        <f aca="false">H41-I41</f>
        <v>1.23223140495868</v>
      </c>
    </row>
    <row r="42" customFormat="false" ht="15" hidden="false" customHeight="false" outlineLevel="0" collapsed="false">
      <c r="A42" s="8" t="s">
        <v>152</v>
      </c>
      <c r="B42" s="8" t="s">
        <v>62</v>
      </c>
      <c r="C42" s="8" t="s">
        <v>154</v>
      </c>
      <c r="D42" s="8" t="s">
        <v>147</v>
      </c>
      <c r="E42" s="8" t="s">
        <v>71</v>
      </c>
      <c r="F42" s="8" t="s">
        <v>72</v>
      </c>
      <c r="G42" s="8" t="s">
        <v>73</v>
      </c>
      <c r="H42" s="9" t="n">
        <v>47.1</v>
      </c>
      <c r="I42" s="10" t="n">
        <f aca="false">H42/1.21</f>
        <v>38.9256198347107</v>
      </c>
      <c r="J42" s="10" t="n">
        <f aca="false">H42-I42</f>
        <v>8.17438016528926</v>
      </c>
    </row>
    <row r="43" customFormat="false" ht="15" hidden="false" customHeight="false" outlineLevel="0" collapsed="false">
      <c r="A43" s="8" t="s">
        <v>155</v>
      </c>
      <c r="B43" s="8" t="s">
        <v>62</v>
      </c>
      <c r="C43" s="8" t="s">
        <v>156</v>
      </c>
      <c r="D43" s="8" t="s">
        <v>64</v>
      </c>
      <c r="E43" s="8" t="s">
        <v>65</v>
      </c>
      <c r="F43" s="8" t="s">
        <v>66</v>
      </c>
      <c r="G43" s="8" t="s">
        <v>67</v>
      </c>
      <c r="H43" s="9" t="n">
        <v>800</v>
      </c>
      <c r="I43" s="10" t="n">
        <f aca="false">H43</f>
        <v>800</v>
      </c>
      <c r="J43" s="10" t="n">
        <f aca="false">I43*0.21</f>
        <v>168</v>
      </c>
    </row>
    <row r="44" customFormat="false" ht="15" hidden="false" customHeight="false" outlineLevel="0" collapsed="false">
      <c r="A44" s="8" t="s">
        <v>157</v>
      </c>
      <c r="B44" s="8" t="s">
        <v>74</v>
      </c>
      <c r="C44" s="8" t="s">
        <v>75</v>
      </c>
      <c r="D44" s="8" t="s">
        <v>76</v>
      </c>
      <c r="E44" s="8" t="s">
        <v>65</v>
      </c>
      <c r="F44" s="8" t="s">
        <v>66</v>
      </c>
      <c r="G44" s="8" t="s">
        <v>67</v>
      </c>
      <c r="H44" s="9" t="n">
        <v>198.56</v>
      </c>
      <c r="I44" s="10" t="n">
        <f aca="false">H44</f>
        <v>198.56</v>
      </c>
      <c r="J44" s="10" t="n">
        <f aca="false">I44*0.21</f>
        <v>41.6976</v>
      </c>
    </row>
    <row r="45" customFormat="false" ht="15" hidden="false" customHeight="false" outlineLevel="0" collapsed="false">
      <c r="A45" s="8" t="s">
        <v>158</v>
      </c>
      <c r="B45" s="8" t="s">
        <v>62</v>
      </c>
      <c r="C45" s="8" t="s">
        <v>159</v>
      </c>
      <c r="D45" s="8" t="s">
        <v>64</v>
      </c>
      <c r="E45" s="8" t="s">
        <v>65</v>
      </c>
      <c r="F45" s="8" t="s">
        <v>66</v>
      </c>
      <c r="G45" s="8" t="s">
        <v>67</v>
      </c>
      <c r="H45" s="9" t="n">
        <v>800</v>
      </c>
      <c r="I45" s="10" t="n">
        <f aca="false">H45</f>
        <v>800</v>
      </c>
      <c r="J45" s="10" t="n">
        <f aca="false">I45*0.21</f>
        <v>168</v>
      </c>
    </row>
    <row r="46" customFormat="false" ht="15" hidden="false" customHeight="false" outlineLevel="0" collapsed="false">
      <c r="A46" s="8" t="s">
        <v>158</v>
      </c>
      <c r="B46" s="8" t="s">
        <v>62</v>
      </c>
      <c r="C46" s="8" t="s">
        <v>153</v>
      </c>
      <c r="D46" s="8" t="s">
        <v>79</v>
      </c>
      <c r="E46" s="8" t="s">
        <v>71</v>
      </c>
      <c r="F46" s="8" t="s">
        <v>72</v>
      </c>
      <c r="G46" s="8" t="s">
        <v>73</v>
      </c>
      <c r="H46" s="9" t="n">
        <v>7.85</v>
      </c>
      <c r="I46" s="10" t="n">
        <f aca="false">H46/1.21</f>
        <v>6.48760330578512</v>
      </c>
      <c r="J46" s="10" t="n">
        <f aca="false">H46-I46</f>
        <v>1.36239669421488</v>
      </c>
    </row>
    <row r="47" customFormat="false" ht="15" hidden="false" customHeight="false" outlineLevel="0" collapsed="false">
      <c r="A47" s="8" t="s">
        <v>158</v>
      </c>
      <c r="B47" s="8" t="s">
        <v>62</v>
      </c>
      <c r="C47" s="8" t="s">
        <v>68</v>
      </c>
      <c r="D47" s="8" t="s">
        <v>69</v>
      </c>
      <c r="E47" s="8" t="s">
        <v>65</v>
      </c>
      <c r="F47" s="8" t="s">
        <v>66</v>
      </c>
      <c r="G47" s="8" t="s">
        <v>67</v>
      </c>
      <c r="H47" s="9" t="n">
        <v>75.9</v>
      </c>
      <c r="I47" s="10" t="n">
        <f aca="false">H47</f>
        <v>75.9</v>
      </c>
      <c r="J47" s="10" t="n">
        <f aca="false">I47*0.21</f>
        <v>15.939</v>
      </c>
    </row>
    <row r="48" customFormat="false" ht="15" hidden="false" customHeight="false" outlineLevel="0" collapsed="false">
      <c r="A48" s="8" t="s">
        <v>160</v>
      </c>
      <c r="B48" s="8" t="s">
        <v>62</v>
      </c>
      <c r="C48" s="8" t="s">
        <v>70</v>
      </c>
      <c r="D48" s="8" t="s">
        <v>69</v>
      </c>
      <c r="E48" s="8" t="s">
        <v>71</v>
      </c>
      <c r="F48" s="8" t="s">
        <v>72</v>
      </c>
      <c r="G48" s="8" t="s">
        <v>73</v>
      </c>
      <c r="H48" s="9" t="n">
        <v>2.42</v>
      </c>
      <c r="I48" s="10" t="n">
        <f aca="false">H48/1.21</f>
        <v>2</v>
      </c>
      <c r="J48" s="10" t="n">
        <f aca="false">H48-I48</f>
        <v>0.42</v>
      </c>
    </row>
    <row r="49" customFormat="false" ht="15" hidden="false" customHeight="false" outlineLevel="0" collapsed="false">
      <c r="A49" s="8" t="s">
        <v>161</v>
      </c>
      <c r="B49" s="8" t="s">
        <v>62</v>
      </c>
      <c r="C49" s="8" t="s">
        <v>162</v>
      </c>
      <c r="D49" s="8" t="s">
        <v>64</v>
      </c>
      <c r="E49" s="8" t="s">
        <v>65</v>
      </c>
      <c r="F49" s="8" t="s">
        <v>66</v>
      </c>
      <c r="G49" s="8" t="s">
        <v>67</v>
      </c>
      <c r="H49" s="9" t="n">
        <v>800</v>
      </c>
      <c r="I49" s="10" t="n">
        <f aca="false">H49</f>
        <v>800</v>
      </c>
      <c r="J49" s="10" t="n">
        <f aca="false">I49*0.21</f>
        <v>168</v>
      </c>
    </row>
    <row r="50" customFormat="false" ht="15" hidden="false" customHeight="false" outlineLevel="0" collapsed="false">
      <c r="A50" s="8" t="s">
        <v>163</v>
      </c>
      <c r="B50" s="8" t="s">
        <v>74</v>
      </c>
      <c r="C50" s="8" t="s">
        <v>164</v>
      </c>
      <c r="D50" s="8" t="s">
        <v>69</v>
      </c>
      <c r="E50" s="8" t="s">
        <v>65</v>
      </c>
      <c r="F50" s="8" t="s">
        <v>66</v>
      </c>
      <c r="G50" s="8" t="s">
        <v>67</v>
      </c>
      <c r="H50" s="9" t="n">
        <v>174.81</v>
      </c>
      <c r="I50" s="10" t="n">
        <f aca="false">H50</f>
        <v>174.81</v>
      </c>
      <c r="J50" s="10" t="n">
        <f aca="false">I50*0.21</f>
        <v>36.7101</v>
      </c>
    </row>
    <row r="51" customFormat="false" ht="15" hidden="false" customHeight="false" outlineLevel="0" collapsed="false">
      <c r="A51" s="8" t="s">
        <v>165</v>
      </c>
      <c r="B51" s="8" t="s">
        <v>98</v>
      </c>
      <c r="C51" s="8" t="s">
        <v>99</v>
      </c>
      <c r="D51" s="8" t="s">
        <v>69</v>
      </c>
      <c r="E51" s="8" t="s">
        <v>100</v>
      </c>
      <c r="F51" s="8" t="s">
        <v>101</v>
      </c>
      <c r="G51" s="8" t="s">
        <v>102</v>
      </c>
      <c r="H51" s="9" t="n">
        <v>35</v>
      </c>
      <c r="I51" s="10" t="n">
        <f aca="false">H51</f>
        <v>35</v>
      </c>
      <c r="J51" s="10" t="n">
        <v>0</v>
      </c>
    </row>
    <row r="52" customFormat="false" ht="15" hidden="false" customHeight="false" outlineLevel="0" collapsed="false">
      <c r="A52" s="8" t="s">
        <v>166</v>
      </c>
      <c r="B52" s="8" t="s">
        <v>62</v>
      </c>
      <c r="C52" s="8" t="s">
        <v>167</v>
      </c>
      <c r="D52" s="8" t="s">
        <v>147</v>
      </c>
      <c r="E52" s="8" t="s">
        <v>71</v>
      </c>
      <c r="F52" s="8" t="s">
        <v>72</v>
      </c>
      <c r="G52" s="8" t="s">
        <v>73</v>
      </c>
      <c r="H52" s="9" t="n">
        <v>10.02</v>
      </c>
      <c r="I52" s="10" t="n">
        <f aca="false">H52/1.21</f>
        <v>8.28099173553719</v>
      </c>
      <c r="J52" s="10" t="n">
        <f aca="false">H52-I52</f>
        <v>1.73900826446281</v>
      </c>
    </row>
    <row r="53" customFormat="false" ht="15" hidden="false" customHeight="false" outlineLevel="0" collapsed="false">
      <c r="A53" s="8" t="s">
        <v>166</v>
      </c>
      <c r="B53" s="8" t="s">
        <v>62</v>
      </c>
      <c r="C53" s="8" t="s">
        <v>168</v>
      </c>
      <c r="D53" s="8" t="s">
        <v>64</v>
      </c>
      <c r="E53" s="8" t="s">
        <v>65</v>
      </c>
      <c r="F53" s="8" t="s">
        <v>66</v>
      </c>
      <c r="G53" s="8" t="s">
        <v>67</v>
      </c>
      <c r="H53" s="9" t="n">
        <v>757.53</v>
      </c>
      <c r="I53" s="10" t="n">
        <f aca="false">H53</f>
        <v>757.53</v>
      </c>
      <c r="J53" s="10" t="n">
        <f aca="false">I53*0.21</f>
        <v>159.0813</v>
      </c>
    </row>
    <row r="54" customFormat="false" ht="15" hidden="false" customHeight="false" outlineLevel="0" collapsed="false">
      <c r="A54" s="8" t="s">
        <v>169</v>
      </c>
      <c r="B54" s="8" t="s">
        <v>62</v>
      </c>
      <c r="C54" s="8" t="s">
        <v>143</v>
      </c>
      <c r="D54" s="8" t="s">
        <v>144</v>
      </c>
      <c r="E54" s="8" t="s">
        <v>92</v>
      </c>
      <c r="F54" s="8" t="s">
        <v>93</v>
      </c>
      <c r="G54" s="8" t="s">
        <v>145</v>
      </c>
      <c r="H54" s="9" t="n">
        <v>230</v>
      </c>
      <c r="I54" s="10" t="n">
        <f aca="false">H54</f>
        <v>230</v>
      </c>
      <c r="J54" s="10" t="n">
        <v>0</v>
      </c>
    </row>
    <row r="55" customFormat="false" ht="15" hidden="false" customHeight="false" outlineLevel="0" collapsed="false">
      <c r="A55" s="8" t="s">
        <v>169</v>
      </c>
      <c r="B55" s="8" t="s">
        <v>62</v>
      </c>
      <c r="C55" s="8" t="s">
        <v>170</v>
      </c>
      <c r="D55" s="8" t="s">
        <v>137</v>
      </c>
      <c r="E55" s="8" t="s">
        <v>100</v>
      </c>
      <c r="F55" s="8" t="s">
        <v>101</v>
      </c>
      <c r="G55" s="8" t="s">
        <v>171</v>
      </c>
      <c r="H55" s="9" t="n">
        <v>94.25</v>
      </c>
      <c r="I55" s="10" t="n">
        <f aca="false">H55</f>
        <v>94.25</v>
      </c>
      <c r="J55" s="10" t="n">
        <v>0</v>
      </c>
    </row>
    <row r="56" customFormat="false" ht="15" hidden="false" customHeight="false" outlineLevel="0" collapsed="false">
      <c r="A56" s="8" t="s">
        <v>169</v>
      </c>
      <c r="B56" s="8" t="s">
        <v>62</v>
      </c>
      <c r="C56" s="8" t="s">
        <v>172</v>
      </c>
      <c r="D56" s="8" t="s">
        <v>64</v>
      </c>
      <c r="E56" s="8" t="s">
        <v>65</v>
      </c>
      <c r="F56" s="8" t="s">
        <v>66</v>
      </c>
      <c r="G56" s="8" t="s">
        <v>67</v>
      </c>
      <c r="H56" s="9" t="n">
        <v>800</v>
      </c>
      <c r="I56" s="10" t="n">
        <f aca="false">H56</f>
        <v>800</v>
      </c>
      <c r="J56" s="10" t="n">
        <f aca="false">I56*0.21</f>
        <v>168</v>
      </c>
    </row>
    <row r="57" customFormat="false" ht="15" hidden="false" customHeight="false" outlineLevel="0" collapsed="false">
      <c r="A57" s="8" t="s">
        <v>169</v>
      </c>
      <c r="B57" s="8" t="s">
        <v>62</v>
      </c>
      <c r="C57" s="8" t="s">
        <v>143</v>
      </c>
      <c r="D57" s="8" t="s">
        <v>144</v>
      </c>
      <c r="E57" s="8" t="s">
        <v>92</v>
      </c>
      <c r="F57" s="8" t="s">
        <v>93</v>
      </c>
      <c r="G57" s="8" t="s">
        <v>145</v>
      </c>
      <c r="H57" s="9" t="n">
        <v>230</v>
      </c>
      <c r="I57" s="10" t="n">
        <f aca="false">H57</f>
        <v>230</v>
      </c>
      <c r="J57" s="10" t="n">
        <v>0</v>
      </c>
    </row>
    <row r="58" customFormat="false" ht="15" hidden="false" customHeight="false" outlineLevel="0" collapsed="false">
      <c r="A58" s="8" t="s">
        <v>169</v>
      </c>
      <c r="B58" s="8" t="s">
        <v>74</v>
      </c>
      <c r="C58" s="8" t="s">
        <v>173</v>
      </c>
      <c r="D58" s="8" t="s">
        <v>69</v>
      </c>
      <c r="E58" s="8" t="s">
        <v>65</v>
      </c>
      <c r="F58" s="8" t="s">
        <v>66</v>
      </c>
      <c r="G58" s="8" t="s">
        <v>67</v>
      </c>
      <c r="H58" s="9" t="n">
        <v>32</v>
      </c>
      <c r="I58" s="10" t="n">
        <f aca="false">H58</f>
        <v>32</v>
      </c>
      <c r="J58" s="10" t="n">
        <f aca="false">I58*0.21</f>
        <v>6.72</v>
      </c>
    </row>
    <row r="59" customFormat="false" ht="15" hidden="false" customHeight="false" outlineLevel="0" collapsed="false">
      <c r="A59" s="8" t="s">
        <v>169</v>
      </c>
      <c r="B59" s="8" t="s">
        <v>74</v>
      </c>
      <c r="C59" s="8" t="s">
        <v>109</v>
      </c>
      <c r="D59" s="8" t="s">
        <v>69</v>
      </c>
      <c r="E59" s="8" t="s">
        <v>80</v>
      </c>
      <c r="F59" s="8" t="s">
        <v>81</v>
      </c>
      <c r="G59" s="8" t="s">
        <v>82</v>
      </c>
      <c r="H59" s="9" t="n">
        <v>52.94</v>
      </c>
      <c r="I59" s="10" t="n">
        <f aca="false">H59</f>
        <v>52.94</v>
      </c>
      <c r="J59" s="10" t="n">
        <f aca="false">I59*0.21</f>
        <v>11.1174</v>
      </c>
    </row>
    <row r="60" customFormat="false" ht="15" hidden="false" customHeight="false" outlineLevel="0" collapsed="false">
      <c r="A60" s="8" t="s">
        <v>174</v>
      </c>
      <c r="B60" s="8" t="s">
        <v>62</v>
      </c>
      <c r="C60" s="8" t="s">
        <v>175</v>
      </c>
      <c r="D60" s="8" t="s">
        <v>105</v>
      </c>
      <c r="E60" s="8" t="s">
        <v>92</v>
      </c>
      <c r="F60" s="8" t="s">
        <v>93</v>
      </c>
      <c r="G60" s="8" t="s">
        <v>133</v>
      </c>
      <c r="H60" s="9" t="n">
        <v>174.28</v>
      </c>
      <c r="I60" s="10" t="n">
        <f aca="false">H60</f>
        <v>174.28</v>
      </c>
      <c r="J60" s="10" t="n">
        <v>0</v>
      </c>
    </row>
    <row r="61" customFormat="false" ht="15" hidden="false" customHeight="false" outlineLevel="0" collapsed="false">
      <c r="A61" s="8" t="s">
        <v>176</v>
      </c>
      <c r="B61" s="8" t="s">
        <v>62</v>
      </c>
      <c r="C61" s="8" t="s">
        <v>177</v>
      </c>
      <c r="D61" s="8" t="s">
        <v>137</v>
      </c>
      <c r="E61" s="8" t="s">
        <v>138</v>
      </c>
      <c r="F61" s="8" t="s">
        <v>139</v>
      </c>
      <c r="G61" s="8" t="s">
        <v>140</v>
      </c>
      <c r="H61" s="9" t="n">
        <v>27</v>
      </c>
      <c r="I61" s="10" t="n">
        <f aca="false">H61/1.21</f>
        <v>22.3140495867769</v>
      </c>
      <c r="J61" s="10" t="n">
        <f aca="false">H61-I61</f>
        <v>4.68595041322314</v>
      </c>
    </row>
    <row r="62" customFormat="false" ht="15" hidden="false" customHeight="false" outlineLevel="0" collapsed="false">
      <c r="A62" s="8" t="s">
        <v>178</v>
      </c>
      <c r="B62" s="8" t="s">
        <v>74</v>
      </c>
      <c r="C62" s="8" t="s">
        <v>179</v>
      </c>
      <c r="D62" s="8" t="s">
        <v>64</v>
      </c>
      <c r="E62" s="8" t="s">
        <v>65</v>
      </c>
      <c r="F62" s="8" t="s">
        <v>66</v>
      </c>
      <c r="G62" s="8" t="s">
        <v>67</v>
      </c>
      <c r="H62" s="9" t="n">
        <v>800</v>
      </c>
      <c r="I62" s="10" t="n">
        <f aca="false">H62</f>
        <v>800</v>
      </c>
      <c r="J62" s="10" t="n">
        <f aca="false">I62*0.21</f>
        <v>168</v>
      </c>
    </row>
    <row r="63" customFormat="false" ht="15" hidden="false" customHeight="false" outlineLevel="0" collapsed="false">
      <c r="A63" s="8" t="s">
        <v>180</v>
      </c>
      <c r="B63" s="8" t="s">
        <v>62</v>
      </c>
      <c r="C63" s="8" t="s">
        <v>122</v>
      </c>
      <c r="D63" s="8" t="s">
        <v>123</v>
      </c>
      <c r="E63" s="8" t="s">
        <v>118</v>
      </c>
      <c r="F63" s="8" t="s">
        <v>119</v>
      </c>
      <c r="G63" s="8" t="s">
        <v>120</v>
      </c>
      <c r="H63" s="9" t="n">
        <v>524.89</v>
      </c>
      <c r="I63" s="10" t="n">
        <f aca="false">H63</f>
        <v>524.89</v>
      </c>
      <c r="J63" s="10" t="n">
        <v>0</v>
      </c>
    </row>
    <row r="64" customFormat="false" ht="15" hidden="false" customHeight="false" outlineLevel="0" collapsed="false">
      <c r="A64" s="8" t="s">
        <v>180</v>
      </c>
      <c r="B64" s="8" t="s">
        <v>62</v>
      </c>
      <c r="C64" s="8" t="s">
        <v>122</v>
      </c>
      <c r="D64" s="8" t="s">
        <v>124</v>
      </c>
      <c r="E64" s="8" t="s">
        <v>100</v>
      </c>
      <c r="F64" s="8" t="s">
        <v>101</v>
      </c>
      <c r="G64" s="8" t="s">
        <v>102</v>
      </c>
      <c r="H64" s="9" t="n">
        <v>63.98</v>
      </c>
      <c r="I64" s="10" t="n">
        <f aca="false">H64</f>
        <v>63.98</v>
      </c>
      <c r="J64" s="10" t="n">
        <v>0</v>
      </c>
    </row>
    <row r="65" customFormat="false" ht="15" hidden="false" customHeight="false" outlineLevel="0" collapsed="false">
      <c r="A65" s="8" t="s">
        <v>180</v>
      </c>
      <c r="B65" s="8" t="s">
        <v>62</v>
      </c>
      <c r="C65" s="8" t="s">
        <v>153</v>
      </c>
      <c r="D65" s="8" t="s">
        <v>79</v>
      </c>
      <c r="E65" s="8" t="s">
        <v>71</v>
      </c>
      <c r="F65" s="8" t="s">
        <v>72</v>
      </c>
      <c r="G65" s="8" t="s">
        <v>73</v>
      </c>
      <c r="H65" s="9" t="n">
        <v>5.4</v>
      </c>
      <c r="I65" s="10" t="n">
        <f aca="false">H65/1.21</f>
        <v>4.46280991735537</v>
      </c>
      <c r="J65" s="10" t="n">
        <f aca="false">H65-I65</f>
        <v>0.937190082644628</v>
      </c>
    </row>
    <row r="66" customFormat="false" ht="15" hidden="false" customHeight="false" outlineLevel="0" collapsed="false">
      <c r="A66" s="8" t="s">
        <v>181</v>
      </c>
      <c r="B66" s="8" t="s">
        <v>62</v>
      </c>
      <c r="C66" s="8" t="s">
        <v>182</v>
      </c>
      <c r="D66" s="8" t="s">
        <v>64</v>
      </c>
      <c r="E66" s="8" t="s">
        <v>65</v>
      </c>
      <c r="F66" s="8" t="s">
        <v>66</v>
      </c>
      <c r="G66" s="8" t="s">
        <v>67</v>
      </c>
      <c r="H66" s="9" t="n">
        <v>800</v>
      </c>
      <c r="I66" s="10" t="n">
        <f aca="false">H66</f>
        <v>800</v>
      </c>
      <c r="J66" s="10" t="n">
        <f aca="false">I66*0.21</f>
        <v>168</v>
      </c>
    </row>
    <row r="67" customFormat="false" ht="15" hidden="false" customHeight="false" outlineLevel="0" collapsed="false">
      <c r="A67" s="8" t="s">
        <v>183</v>
      </c>
      <c r="B67" s="8" t="s">
        <v>62</v>
      </c>
      <c r="C67" s="8" t="s">
        <v>184</v>
      </c>
      <c r="D67" s="8" t="s">
        <v>137</v>
      </c>
      <c r="E67" s="8" t="s">
        <v>138</v>
      </c>
      <c r="F67" s="8" t="s">
        <v>139</v>
      </c>
      <c r="G67" s="8" t="s">
        <v>140</v>
      </c>
      <c r="H67" s="9" t="n">
        <v>249</v>
      </c>
      <c r="I67" s="10" t="n">
        <f aca="false">H67/1.21</f>
        <v>205.785123966942</v>
      </c>
      <c r="J67" s="10" t="n">
        <f aca="false">H67-I67</f>
        <v>43.2148760330578</v>
      </c>
    </row>
    <row r="68" customFormat="false" ht="15" hidden="false" customHeight="false" outlineLevel="0" collapsed="false">
      <c r="A68" s="8" t="s">
        <v>185</v>
      </c>
      <c r="B68" s="8" t="s">
        <v>62</v>
      </c>
      <c r="C68" s="8" t="s">
        <v>129</v>
      </c>
      <c r="D68" s="8" t="s">
        <v>105</v>
      </c>
      <c r="E68" s="8" t="s">
        <v>80</v>
      </c>
      <c r="F68" s="8" t="s">
        <v>81</v>
      </c>
      <c r="G68" s="8" t="s">
        <v>82</v>
      </c>
      <c r="H68" s="9" t="n">
        <v>72</v>
      </c>
      <c r="I68" s="10" t="n">
        <f aca="false">H68</f>
        <v>72</v>
      </c>
      <c r="J68" s="10" t="n">
        <f aca="false">I68*0.21</f>
        <v>15.12</v>
      </c>
    </row>
    <row r="69" customFormat="false" ht="15" hidden="false" customHeight="false" outlineLevel="0" collapsed="false">
      <c r="A69" s="8" t="s">
        <v>185</v>
      </c>
      <c r="B69" s="8" t="s">
        <v>62</v>
      </c>
      <c r="C69" s="8" t="s">
        <v>88</v>
      </c>
      <c r="D69" s="8" t="s">
        <v>89</v>
      </c>
      <c r="E69" s="8" t="s">
        <v>71</v>
      </c>
      <c r="F69" s="8" t="s">
        <v>72</v>
      </c>
      <c r="G69" s="8" t="s">
        <v>73</v>
      </c>
      <c r="H69" s="9" t="n">
        <v>94.72</v>
      </c>
      <c r="I69" s="10" t="n">
        <f aca="false">H69/1.21</f>
        <v>78.2809917355372</v>
      </c>
      <c r="J69" s="10" t="n">
        <f aca="false">H69-I69</f>
        <v>16.4390082644628</v>
      </c>
    </row>
    <row r="70" customFormat="false" ht="15" hidden="false" customHeight="false" outlineLevel="0" collapsed="false">
      <c r="A70" s="8" t="s">
        <v>185</v>
      </c>
      <c r="B70" s="8" t="s">
        <v>74</v>
      </c>
      <c r="C70" s="8" t="s">
        <v>186</v>
      </c>
      <c r="D70" s="8" t="s">
        <v>69</v>
      </c>
      <c r="E70" s="8" t="s">
        <v>65</v>
      </c>
      <c r="F70" s="8" t="s">
        <v>66</v>
      </c>
      <c r="G70" s="8" t="s">
        <v>67</v>
      </c>
      <c r="H70" s="9" t="n">
        <v>12.27</v>
      </c>
      <c r="I70" s="10" t="n">
        <f aca="false">H70</f>
        <v>12.27</v>
      </c>
      <c r="J70" s="10" t="n">
        <f aca="false">I70*0.21</f>
        <v>2.5767</v>
      </c>
    </row>
    <row r="71" customFormat="false" ht="15" hidden="false" customHeight="false" outlineLevel="0" collapsed="false">
      <c r="A71" s="8" t="s">
        <v>187</v>
      </c>
      <c r="B71" s="8" t="s">
        <v>62</v>
      </c>
      <c r="C71" s="8" t="s">
        <v>188</v>
      </c>
      <c r="D71" s="8" t="s">
        <v>64</v>
      </c>
      <c r="E71" s="8" t="s">
        <v>65</v>
      </c>
      <c r="F71" s="8" t="s">
        <v>66</v>
      </c>
      <c r="G71" s="8" t="s">
        <v>67</v>
      </c>
      <c r="H71" s="9" t="n">
        <v>800</v>
      </c>
      <c r="I71" s="10" t="n">
        <f aca="false">H71</f>
        <v>800</v>
      </c>
      <c r="J71" s="10" t="n">
        <f aca="false">I71*0.21</f>
        <v>168</v>
      </c>
    </row>
    <row r="72" customFormat="false" ht="15" hidden="false" customHeight="false" outlineLevel="0" collapsed="false">
      <c r="A72" s="8" t="s">
        <v>189</v>
      </c>
      <c r="B72" s="8" t="s">
        <v>62</v>
      </c>
      <c r="C72" s="8" t="s">
        <v>190</v>
      </c>
      <c r="D72" s="8" t="s">
        <v>64</v>
      </c>
      <c r="E72" s="8" t="s">
        <v>65</v>
      </c>
      <c r="F72" s="8" t="s">
        <v>66</v>
      </c>
      <c r="G72" s="8" t="s">
        <v>67</v>
      </c>
      <c r="H72" s="9" t="n">
        <v>800</v>
      </c>
      <c r="I72" s="10" t="n">
        <f aca="false">H72</f>
        <v>800</v>
      </c>
      <c r="J72" s="10" t="n">
        <f aca="false">I72*0.21</f>
        <v>168</v>
      </c>
    </row>
    <row r="73" customFormat="false" ht="15" hidden="false" customHeight="false" outlineLevel="0" collapsed="false">
      <c r="A73" s="8" t="s">
        <v>191</v>
      </c>
      <c r="B73" s="8" t="s">
        <v>62</v>
      </c>
      <c r="C73" s="8" t="s">
        <v>88</v>
      </c>
      <c r="D73" s="8" t="s">
        <v>89</v>
      </c>
      <c r="E73" s="8" t="s">
        <v>71</v>
      </c>
      <c r="F73" s="8" t="s">
        <v>72</v>
      </c>
      <c r="G73" s="8" t="s">
        <v>73</v>
      </c>
      <c r="H73" s="9" t="n">
        <v>248.35</v>
      </c>
      <c r="I73" s="10" t="n">
        <f aca="false">H73/1.21</f>
        <v>205.247933884298</v>
      </c>
      <c r="J73" s="10" t="n">
        <f aca="false">H73-I73</f>
        <v>43.1020661157025</v>
      </c>
    </row>
    <row r="74" customFormat="false" ht="15" hidden="false" customHeight="false" outlineLevel="0" collapsed="false">
      <c r="A74" s="8" t="s">
        <v>191</v>
      </c>
      <c r="B74" s="8" t="s">
        <v>62</v>
      </c>
      <c r="C74" s="8" t="s">
        <v>192</v>
      </c>
      <c r="D74" s="8" t="s">
        <v>105</v>
      </c>
      <c r="E74" s="8" t="s">
        <v>65</v>
      </c>
      <c r="F74" s="8" t="s">
        <v>66</v>
      </c>
      <c r="G74" s="8" t="s">
        <v>193</v>
      </c>
      <c r="H74" s="9" t="n">
        <v>3650</v>
      </c>
      <c r="I74" s="10" t="n">
        <f aca="false">H74</f>
        <v>3650</v>
      </c>
      <c r="J74" s="10" t="n">
        <f aca="false">I74*0.21</f>
        <v>766.5</v>
      </c>
    </row>
    <row r="75" customFormat="false" ht="15" hidden="false" customHeight="false" outlineLevel="0" collapsed="false">
      <c r="A75" s="8" t="s">
        <v>191</v>
      </c>
      <c r="B75" s="8" t="s">
        <v>62</v>
      </c>
      <c r="C75" s="8" t="s">
        <v>86</v>
      </c>
      <c r="D75" s="8" t="s">
        <v>87</v>
      </c>
      <c r="E75" s="8" t="s">
        <v>71</v>
      </c>
      <c r="F75" s="8" t="s">
        <v>72</v>
      </c>
      <c r="G75" s="8" t="s">
        <v>73</v>
      </c>
      <c r="H75" s="9" t="n">
        <v>1783.71</v>
      </c>
      <c r="I75" s="10" t="n">
        <f aca="false">H75/1.21</f>
        <v>1474.14049586777</v>
      </c>
      <c r="J75" s="10" t="n">
        <f aca="false">H75-I75</f>
        <v>309.569504132231</v>
      </c>
    </row>
    <row r="76" customFormat="false" ht="15" hidden="false" customHeight="false" outlineLevel="0" collapsed="false">
      <c r="A76" s="8" t="s">
        <v>194</v>
      </c>
      <c r="B76" s="8" t="s">
        <v>62</v>
      </c>
      <c r="C76" s="8" t="s">
        <v>195</v>
      </c>
      <c r="D76" s="8" t="s">
        <v>64</v>
      </c>
      <c r="E76" s="8" t="s">
        <v>65</v>
      </c>
      <c r="F76" s="8" t="s">
        <v>66</v>
      </c>
      <c r="G76" s="8" t="s">
        <v>67</v>
      </c>
      <c r="H76" s="9" t="n">
        <v>800</v>
      </c>
      <c r="I76" s="10" t="n">
        <f aca="false">H76</f>
        <v>800</v>
      </c>
      <c r="J76" s="10" t="n">
        <f aca="false">I76*0.21</f>
        <v>168</v>
      </c>
    </row>
    <row r="77" customFormat="false" ht="15" hidden="false" customHeight="false" outlineLevel="0" collapsed="false">
      <c r="A77" s="8" t="s">
        <v>194</v>
      </c>
      <c r="B77" s="8" t="s">
        <v>62</v>
      </c>
      <c r="C77" s="8" t="s">
        <v>148</v>
      </c>
      <c r="D77" s="8" t="s">
        <v>149</v>
      </c>
      <c r="E77" s="8" t="s">
        <v>100</v>
      </c>
      <c r="F77" s="8" t="s">
        <v>101</v>
      </c>
      <c r="G77" s="8" t="s">
        <v>102</v>
      </c>
      <c r="H77" s="9" t="n">
        <v>18.47</v>
      </c>
      <c r="I77" s="10" t="n">
        <f aca="false">H77</f>
        <v>18.47</v>
      </c>
      <c r="J77" s="10" t="n">
        <v>0</v>
      </c>
    </row>
    <row r="78" customFormat="false" ht="15" hidden="false" customHeight="false" outlineLevel="0" collapsed="false">
      <c r="A78" s="8" t="s">
        <v>196</v>
      </c>
      <c r="B78" s="8" t="s">
        <v>62</v>
      </c>
      <c r="C78" s="8" t="s">
        <v>197</v>
      </c>
      <c r="D78" s="8" t="s">
        <v>64</v>
      </c>
      <c r="E78" s="8" t="s">
        <v>65</v>
      </c>
      <c r="F78" s="8" t="s">
        <v>66</v>
      </c>
      <c r="G78" s="8" t="s">
        <v>67</v>
      </c>
      <c r="H78" s="9" t="n">
        <v>800</v>
      </c>
      <c r="I78" s="10" t="n">
        <f aca="false">H78</f>
        <v>800</v>
      </c>
      <c r="J78" s="10" t="n">
        <f aca="false">I78*0.21</f>
        <v>168</v>
      </c>
    </row>
    <row r="79" customFormat="false" ht="15" hidden="false" customHeight="false" outlineLevel="0" collapsed="false">
      <c r="A79" s="8" t="s">
        <v>198</v>
      </c>
      <c r="B79" s="8" t="s">
        <v>62</v>
      </c>
      <c r="C79" s="8" t="s">
        <v>68</v>
      </c>
      <c r="D79" s="8" t="s">
        <v>69</v>
      </c>
      <c r="E79" s="8" t="s">
        <v>65</v>
      </c>
      <c r="F79" s="8" t="s">
        <v>66</v>
      </c>
      <c r="G79" s="8" t="s">
        <v>67</v>
      </c>
      <c r="H79" s="9" t="n">
        <v>75.9</v>
      </c>
      <c r="I79" s="10" t="n">
        <f aca="false">H79</f>
        <v>75.9</v>
      </c>
      <c r="J79" s="10" t="n">
        <f aca="false">I79*0.21</f>
        <v>15.939</v>
      </c>
    </row>
    <row r="80" customFormat="false" ht="15" hidden="false" customHeight="false" outlineLevel="0" collapsed="false">
      <c r="A80" s="8" t="s">
        <v>198</v>
      </c>
      <c r="B80" s="8" t="s">
        <v>62</v>
      </c>
      <c r="C80" s="8" t="s">
        <v>70</v>
      </c>
      <c r="D80" s="8" t="s">
        <v>69</v>
      </c>
      <c r="E80" s="8" t="s">
        <v>71</v>
      </c>
      <c r="F80" s="8" t="s">
        <v>72</v>
      </c>
      <c r="G80" s="8" t="s">
        <v>73</v>
      </c>
      <c r="H80" s="9" t="n">
        <v>2.42</v>
      </c>
      <c r="I80" s="10" t="n">
        <f aca="false">H80/1.21</f>
        <v>2</v>
      </c>
      <c r="J80" s="10" t="n">
        <f aca="false">H80-I80</f>
        <v>0.42</v>
      </c>
    </row>
    <row r="81" customFormat="false" ht="15" hidden="false" customHeight="false" outlineLevel="0" collapsed="false">
      <c r="A81" s="8" t="s">
        <v>198</v>
      </c>
      <c r="B81" s="8" t="s">
        <v>74</v>
      </c>
      <c r="C81" s="8" t="s">
        <v>199</v>
      </c>
      <c r="D81" s="8" t="s">
        <v>64</v>
      </c>
      <c r="E81" s="8" t="s">
        <v>65</v>
      </c>
      <c r="F81" s="8" t="s">
        <v>66</v>
      </c>
      <c r="G81" s="8" t="s">
        <v>67</v>
      </c>
      <c r="H81" s="9" t="n">
        <v>22.29</v>
      </c>
      <c r="I81" s="10" t="n">
        <f aca="false">H81</f>
        <v>22.29</v>
      </c>
      <c r="J81" s="10" t="n">
        <f aca="false">I81*0.21</f>
        <v>4.6809</v>
      </c>
    </row>
    <row r="82" customFormat="false" ht="15" hidden="false" customHeight="false" outlineLevel="0" collapsed="false">
      <c r="A82" s="8" t="s">
        <v>200</v>
      </c>
      <c r="B82" s="8" t="s">
        <v>98</v>
      </c>
      <c r="C82" s="8" t="s">
        <v>201</v>
      </c>
      <c r="D82" s="8" t="s">
        <v>202</v>
      </c>
      <c r="E82" s="8" t="s">
        <v>203</v>
      </c>
      <c r="F82" s="8" t="s">
        <v>204</v>
      </c>
      <c r="G82" s="8" t="s">
        <v>205</v>
      </c>
      <c r="H82" s="9" t="n">
        <v>8637.91</v>
      </c>
      <c r="I82" s="10" t="n">
        <f aca="false">H82</f>
        <v>8637.91</v>
      </c>
      <c r="J82" s="10" t="n">
        <v>0</v>
      </c>
    </row>
    <row r="83" customFormat="false" ht="15" hidden="false" customHeight="false" outlineLevel="0" collapsed="false">
      <c r="A83" s="8" t="s">
        <v>206</v>
      </c>
      <c r="B83" s="8" t="s">
        <v>62</v>
      </c>
      <c r="C83" s="8" t="s">
        <v>207</v>
      </c>
      <c r="D83" s="8" t="s">
        <v>64</v>
      </c>
      <c r="E83" s="8" t="s">
        <v>65</v>
      </c>
      <c r="F83" s="8" t="s">
        <v>66</v>
      </c>
      <c r="G83" s="8" t="s">
        <v>67</v>
      </c>
      <c r="H83" s="9" t="n">
        <v>800</v>
      </c>
      <c r="I83" s="10" t="n">
        <f aca="false">H83</f>
        <v>800</v>
      </c>
      <c r="J83" s="10" t="n">
        <f aca="false">I83*0.21</f>
        <v>168</v>
      </c>
    </row>
    <row r="84" customFormat="false" ht="15" hidden="false" customHeight="false" outlineLevel="0" collapsed="false">
      <c r="A84" s="8" t="s">
        <v>208</v>
      </c>
      <c r="B84" s="8" t="s">
        <v>62</v>
      </c>
      <c r="C84" s="8" t="s">
        <v>209</v>
      </c>
      <c r="D84" s="8" t="s">
        <v>64</v>
      </c>
      <c r="E84" s="8" t="s">
        <v>65</v>
      </c>
      <c r="F84" s="8" t="s">
        <v>66</v>
      </c>
      <c r="G84" s="8" t="s">
        <v>67</v>
      </c>
      <c r="H84" s="9" t="n">
        <v>800</v>
      </c>
      <c r="I84" s="10" t="n">
        <f aca="false">H84</f>
        <v>800</v>
      </c>
      <c r="J84" s="10" t="n">
        <f aca="false">I84*0.21</f>
        <v>168</v>
      </c>
    </row>
    <row r="85" customFormat="false" ht="15" hidden="false" customHeight="false" outlineLevel="0" collapsed="false">
      <c r="A85" s="8" t="s">
        <v>210</v>
      </c>
      <c r="B85" s="8" t="s">
        <v>98</v>
      </c>
      <c r="C85" s="8" t="s">
        <v>99</v>
      </c>
      <c r="D85" s="8" t="s">
        <v>69</v>
      </c>
      <c r="E85" s="8" t="s">
        <v>100</v>
      </c>
      <c r="F85" s="8" t="s">
        <v>101</v>
      </c>
      <c r="G85" s="8" t="s">
        <v>102</v>
      </c>
      <c r="H85" s="9" t="n">
        <v>35</v>
      </c>
      <c r="I85" s="10" t="n">
        <f aca="false">H85</f>
        <v>35</v>
      </c>
      <c r="J85" s="10" t="n">
        <v>0</v>
      </c>
    </row>
    <row r="86" customFormat="false" ht="15" hidden="false" customHeight="false" outlineLevel="0" collapsed="false">
      <c r="A86" s="8" t="s">
        <v>210</v>
      </c>
      <c r="B86" s="8" t="s">
        <v>62</v>
      </c>
      <c r="C86" s="8" t="s">
        <v>86</v>
      </c>
      <c r="D86" s="8" t="s">
        <v>87</v>
      </c>
      <c r="E86" s="8" t="s">
        <v>71</v>
      </c>
      <c r="F86" s="8" t="s">
        <v>72</v>
      </c>
      <c r="G86" s="8" t="s">
        <v>73</v>
      </c>
      <c r="H86" s="9" t="n">
        <v>110.77</v>
      </c>
      <c r="I86" s="10" t="n">
        <f aca="false">H86/1.21</f>
        <v>91.5454545454546</v>
      </c>
      <c r="J86" s="10" t="n">
        <f aca="false">H86-I86</f>
        <v>19.2245454545455</v>
      </c>
    </row>
    <row r="87" customFormat="false" ht="15" hidden="false" customHeight="false" outlineLevel="0" collapsed="false">
      <c r="A87" s="8" t="s">
        <v>210</v>
      </c>
      <c r="B87" s="8" t="s">
        <v>62</v>
      </c>
      <c r="C87" s="8" t="s">
        <v>107</v>
      </c>
      <c r="D87" s="8" t="s">
        <v>87</v>
      </c>
      <c r="E87" s="8" t="s">
        <v>71</v>
      </c>
      <c r="F87" s="8" t="s">
        <v>72</v>
      </c>
      <c r="G87" s="8" t="s">
        <v>73</v>
      </c>
      <c r="H87" s="9" t="n">
        <v>2361.28</v>
      </c>
      <c r="I87" s="10" t="n">
        <f aca="false">H87/1.21</f>
        <v>1951.47107438017</v>
      </c>
      <c r="J87" s="10" t="n">
        <f aca="false">H87-I87</f>
        <v>409.808925619835</v>
      </c>
    </row>
    <row r="88" customFormat="false" ht="15" hidden="false" customHeight="false" outlineLevel="0" collapsed="false">
      <c r="A88" s="8" t="s">
        <v>210</v>
      </c>
      <c r="B88" s="8" t="s">
        <v>62</v>
      </c>
      <c r="C88" s="8" t="s">
        <v>88</v>
      </c>
      <c r="D88" s="8" t="s">
        <v>89</v>
      </c>
      <c r="E88" s="8" t="s">
        <v>71</v>
      </c>
      <c r="F88" s="8" t="s">
        <v>72</v>
      </c>
      <c r="G88" s="8" t="s">
        <v>73</v>
      </c>
      <c r="H88" s="9" t="n">
        <v>472.21</v>
      </c>
      <c r="I88" s="10" t="n">
        <f aca="false">H88/1.21</f>
        <v>390.256198347107</v>
      </c>
      <c r="J88" s="10" t="n">
        <f aca="false">H88-I88</f>
        <v>81.9538016528925</v>
      </c>
    </row>
    <row r="89" customFormat="false" ht="15" hidden="false" customHeight="false" outlineLevel="0" collapsed="false">
      <c r="A89" s="8" t="s">
        <v>210</v>
      </c>
      <c r="B89" s="8" t="s">
        <v>62</v>
      </c>
      <c r="C89" s="8" t="s">
        <v>86</v>
      </c>
      <c r="D89" s="8" t="s">
        <v>87</v>
      </c>
      <c r="E89" s="8" t="s">
        <v>71</v>
      </c>
      <c r="F89" s="8" t="s">
        <v>72</v>
      </c>
      <c r="G89" s="8" t="s">
        <v>73</v>
      </c>
      <c r="H89" s="9" t="n">
        <v>3135</v>
      </c>
      <c r="I89" s="10" t="n">
        <f aca="false">H89/1.21</f>
        <v>2590.90909090909</v>
      </c>
      <c r="J89" s="10" t="n">
        <f aca="false">H89-I89</f>
        <v>544.090909090909</v>
      </c>
    </row>
    <row r="90" customFormat="false" ht="15" hidden="false" customHeight="false" outlineLevel="0" collapsed="false">
      <c r="A90" s="8" t="s">
        <v>210</v>
      </c>
      <c r="B90" s="8" t="s">
        <v>62</v>
      </c>
      <c r="C90" s="8" t="s">
        <v>86</v>
      </c>
      <c r="D90" s="8" t="s">
        <v>87</v>
      </c>
      <c r="E90" s="8" t="s">
        <v>71</v>
      </c>
      <c r="F90" s="8" t="s">
        <v>72</v>
      </c>
      <c r="G90" s="8" t="s">
        <v>73</v>
      </c>
      <c r="H90" s="9" t="n">
        <v>261.03</v>
      </c>
      <c r="I90" s="10" t="n">
        <f aca="false">H90/1.21</f>
        <v>215.727272727273</v>
      </c>
      <c r="J90" s="10" t="n">
        <f aca="false">H90-I90</f>
        <v>45.3027272727273</v>
      </c>
    </row>
    <row r="91" customFormat="false" ht="15" hidden="false" customHeight="false" outlineLevel="0" collapsed="false">
      <c r="A91" s="8" t="s">
        <v>210</v>
      </c>
      <c r="B91" s="8" t="s">
        <v>62</v>
      </c>
      <c r="C91" s="8" t="s">
        <v>86</v>
      </c>
      <c r="D91" s="8" t="s">
        <v>87</v>
      </c>
      <c r="E91" s="8" t="s">
        <v>71</v>
      </c>
      <c r="F91" s="8" t="s">
        <v>72</v>
      </c>
      <c r="G91" s="8" t="s">
        <v>73</v>
      </c>
      <c r="H91" s="9" t="n">
        <v>364.57</v>
      </c>
      <c r="I91" s="10" t="n">
        <f aca="false">H91/1.21</f>
        <v>301.297520661157</v>
      </c>
      <c r="J91" s="10" t="n">
        <f aca="false">H91-I91</f>
        <v>63.272479338843</v>
      </c>
    </row>
    <row r="92" customFormat="false" ht="15" hidden="false" customHeight="false" outlineLevel="0" collapsed="false">
      <c r="A92" s="8" t="s">
        <v>210</v>
      </c>
      <c r="B92" s="8" t="s">
        <v>62</v>
      </c>
      <c r="C92" s="8" t="s">
        <v>211</v>
      </c>
      <c r="D92" s="8" t="s">
        <v>64</v>
      </c>
      <c r="E92" s="8" t="s">
        <v>65</v>
      </c>
      <c r="F92" s="8" t="s">
        <v>66</v>
      </c>
      <c r="G92" s="8" t="s">
        <v>67</v>
      </c>
      <c r="H92" s="9" t="n">
        <v>555.08</v>
      </c>
      <c r="I92" s="10" t="n">
        <f aca="false">H92</f>
        <v>555.08</v>
      </c>
      <c r="J92" s="10" t="n">
        <f aca="false">I92*0.21</f>
        <v>116.5668</v>
      </c>
    </row>
    <row r="93" customFormat="false" ht="15" hidden="false" customHeight="false" outlineLevel="0" collapsed="false">
      <c r="A93" s="8" t="s">
        <v>210</v>
      </c>
      <c r="B93" s="8" t="s">
        <v>74</v>
      </c>
      <c r="C93" s="8" t="s">
        <v>104</v>
      </c>
      <c r="D93" s="8" t="s">
        <v>105</v>
      </c>
      <c r="E93" s="8" t="s">
        <v>65</v>
      </c>
      <c r="F93" s="8" t="s">
        <v>66</v>
      </c>
      <c r="G93" s="8" t="s">
        <v>67</v>
      </c>
      <c r="H93" s="9" t="n">
        <v>41.33</v>
      </c>
      <c r="I93" s="10" t="n">
        <f aca="false">H93</f>
        <v>41.33</v>
      </c>
      <c r="J93" s="10" t="n">
        <f aca="false">I93*0.21</f>
        <v>8.6793</v>
      </c>
    </row>
    <row r="94" customFormat="false" ht="15" hidden="false" customHeight="false" outlineLevel="0" collapsed="false">
      <c r="A94" s="8" t="s">
        <v>212</v>
      </c>
      <c r="B94" s="8" t="s">
        <v>74</v>
      </c>
      <c r="C94" s="8" t="s">
        <v>213</v>
      </c>
      <c r="D94" s="8" t="s">
        <v>69</v>
      </c>
      <c r="E94" s="8" t="s">
        <v>65</v>
      </c>
      <c r="F94" s="8" t="s">
        <v>66</v>
      </c>
      <c r="G94" s="8" t="s">
        <v>67</v>
      </c>
      <c r="H94" s="9" t="n">
        <v>136.02</v>
      </c>
      <c r="I94" s="10" t="n">
        <f aca="false">H94</f>
        <v>136.02</v>
      </c>
      <c r="J94" s="10" t="n">
        <f aca="false">I94*0.21</f>
        <v>28.5642</v>
      </c>
    </row>
    <row r="95" customFormat="false" ht="15" hidden="false" customHeight="false" outlineLevel="0" collapsed="false">
      <c r="A95" s="8" t="s">
        <v>214</v>
      </c>
      <c r="B95" s="8" t="s">
        <v>62</v>
      </c>
      <c r="C95" s="8" t="s">
        <v>215</v>
      </c>
      <c r="D95" s="8" t="s">
        <v>64</v>
      </c>
      <c r="E95" s="8" t="s">
        <v>65</v>
      </c>
      <c r="F95" s="8" t="s">
        <v>66</v>
      </c>
      <c r="G95" s="8" t="s">
        <v>67</v>
      </c>
      <c r="H95" s="9" t="n">
        <v>800</v>
      </c>
      <c r="I95" s="10" t="n">
        <f aca="false">H95</f>
        <v>800</v>
      </c>
      <c r="J95" s="10" t="n">
        <f aca="false">I95*0.21</f>
        <v>168</v>
      </c>
    </row>
    <row r="96" customFormat="false" ht="15" hidden="false" customHeight="false" outlineLevel="0" collapsed="false">
      <c r="A96" s="8" t="s">
        <v>214</v>
      </c>
      <c r="B96" s="8" t="s">
        <v>74</v>
      </c>
      <c r="C96" s="8" t="s">
        <v>109</v>
      </c>
      <c r="D96" s="8" t="s">
        <v>69</v>
      </c>
      <c r="E96" s="8" t="s">
        <v>80</v>
      </c>
      <c r="F96" s="8" t="s">
        <v>81</v>
      </c>
      <c r="G96" s="8" t="s">
        <v>82</v>
      </c>
      <c r="H96" s="9" t="n">
        <v>61.21</v>
      </c>
      <c r="I96" s="10" t="n">
        <f aca="false">H96</f>
        <v>61.21</v>
      </c>
      <c r="J96" s="10" t="n">
        <f aca="false">I96*0.21</f>
        <v>12.8541</v>
      </c>
    </row>
    <row r="97" customFormat="false" ht="15" hidden="false" customHeight="false" outlineLevel="0" collapsed="false">
      <c r="A97" s="8" t="s">
        <v>216</v>
      </c>
      <c r="B97" s="8" t="s">
        <v>62</v>
      </c>
      <c r="C97" s="8" t="s">
        <v>217</v>
      </c>
      <c r="D97" s="8" t="s">
        <v>137</v>
      </c>
      <c r="E97" s="8" t="s">
        <v>138</v>
      </c>
      <c r="F97" s="8" t="s">
        <v>139</v>
      </c>
      <c r="G97" s="8" t="s">
        <v>140</v>
      </c>
      <c r="H97" s="9" t="n">
        <v>121.5</v>
      </c>
      <c r="I97" s="10" t="n">
        <f aca="false">H97/1.21</f>
        <v>100.413223140496</v>
      </c>
      <c r="J97" s="10" t="n">
        <f aca="false">H97-I97</f>
        <v>21.0867768595041</v>
      </c>
    </row>
    <row r="98" customFormat="false" ht="15" hidden="false" customHeight="false" outlineLevel="0" collapsed="false">
      <c r="A98" s="8" t="s">
        <v>218</v>
      </c>
      <c r="B98" s="8" t="s">
        <v>62</v>
      </c>
      <c r="C98" s="8" t="s">
        <v>219</v>
      </c>
      <c r="D98" s="8" t="s">
        <v>64</v>
      </c>
      <c r="E98" s="8" t="s">
        <v>65</v>
      </c>
      <c r="F98" s="8" t="s">
        <v>66</v>
      </c>
      <c r="G98" s="8" t="s">
        <v>67</v>
      </c>
      <c r="H98" s="9" t="n">
        <v>800</v>
      </c>
      <c r="I98" s="10" t="n">
        <f aca="false">H98</f>
        <v>800</v>
      </c>
      <c r="J98" s="10" t="n">
        <f aca="false">I98*0.21</f>
        <v>168</v>
      </c>
    </row>
    <row r="99" customFormat="false" ht="15" hidden="false" customHeight="false" outlineLevel="0" collapsed="false">
      <c r="A99" s="8" t="s">
        <v>220</v>
      </c>
      <c r="B99" s="8" t="s">
        <v>62</v>
      </c>
      <c r="C99" s="8" t="s">
        <v>122</v>
      </c>
      <c r="D99" s="8" t="s">
        <v>123</v>
      </c>
      <c r="E99" s="8" t="s">
        <v>118</v>
      </c>
      <c r="F99" s="8" t="s">
        <v>119</v>
      </c>
      <c r="G99" s="8" t="s">
        <v>120</v>
      </c>
      <c r="H99" s="9" t="n">
        <v>526.67</v>
      </c>
      <c r="I99" s="10" t="n">
        <f aca="false">H99</f>
        <v>526.67</v>
      </c>
      <c r="J99" s="10" t="n">
        <v>0</v>
      </c>
    </row>
    <row r="100" customFormat="false" ht="15" hidden="false" customHeight="false" outlineLevel="0" collapsed="false">
      <c r="A100" s="8" t="s">
        <v>220</v>
      </c>
      <c r="B100" s="8" t="s">
        <v>62</v>
      </c>
      <c r="C100" s="8" t="s">
        <v>122</v>
      </c>
      <c r="D100" s="8" t="s">
        <v>124</v>
      </c>
      <c r="E100" s="8" t="s">
        <v>100</v>
      </c>
      <c r="F100" s="8" t="s">
        <v>101</v>
      </c>
      <c r="G100" s="8" t="s">
        <v>102</v>
      </c>
      <c r="H100" s="9" t="n">
        <v>62.2</v>
      </c>
      <c r="I100" s="10" t="n">
        <f aca="false">H100</f>
        <v>62.2</v>
      </c>
      <c r="J100" s="10" t="n">
        <v>0</v>
      </c>
    </row>
    <row r="101" customFormat="false" ht="15" hidden="false" customHeight="false" outlineLevel="0" collapsed="false">
      <c r="A101" s="8" t="s">
        <v>221</v>
      </c>
      <c r="B101" s="8" t="s">
        <v>62</v>
      </c>
      <c r="C101" s="8" t="s">
        <v>222</v>
      </c>
      <c r="D101" s="8" t="s">
        <v>64</v>
      </c>
      <c r="E101" s="8" t="s">
        <v>65</v>
      </c>
      <c r="F101" s="8" t="s">
        <v>66</v>
      </c>
      <c r="G101" s="8" t="s">
        <v>67</v>
      </c>
      <c r="H101" s="9" t="n">
        <v>800</v>
      </c>
      <c r="I101" s="10" t="n">
        <f aca="false">H101</f>
        <v>800</v>
      </c>
      <c r="J101" s="10" t="n">
        <f aca="false">I101*0.21</f>
        <v>168</v>
      </c>
    </row>
    <row r="102" customFormat="false" ht="15" hidden="false" customHeight="false" outlineLevel="0" collapsed="false">
      <c r="A102" s="8" t="s">
        <v>223</v>
      </c>
      <c r="B102" s="8" t="s">
        <v>62</v>
      </c>
      <c r="C102" s="8" t="s">
        <v>224</v>
      </c>
      <c r="D102" s="8" t="s">
        <v>137</v>
      </c>
      <c r="E102" s="8" t="s">
        <v>138</v>
      </c>
      <c r="F102" s="8" t="s">
        <v>139</v>
      </c>
      <c r="G102" s="8" t="s">
        <v>140</v>
      </c>
      <c r="H102" s="9" t="n">
        <v>8.1</v>
      </c>
      <c r="I102" s="10" t="n">
        <f aca="false">H102/1.21</f>
        <v>6.69421487603306</v>
      </c>
      <c r="J102" s="10" t="n">
        <f aca="false">H102-I102</f>
        <v>1.40578512396694</v>
      </c>
    </row>
    <row r="103" customFormat="false" ht="15" hidden="false" customHeight="false" outlineLevel="0" collapsed="false">
      <c r="A103" s="8" t="s">
        <v>223</v>
      </c>
      <c r="B103" s="8" t="s">
        <v>62</v>
      </c>
      <c r="C103" s="8" t="s">
        <v>225</v>
      </c>
      <c r="D103" s="8" t="s">
        <v>226</v>
      </c>
      <c r="E103" s="8" t="s">
        <v>92</v>
      </c>
      <c r="F103" s="8" t="s">
        <v>93</v>
      </c>
      <c r="G103" s="8" t="s">
        <v>145</v>
      </c>
      <c r="H103" s="9" t="n">
        <v>148</v>
      </c>
      <c r="I103" s="10" t="n">
        <f aca="false">H103</f>
        <v>148</v>
      </c>
      <c r="J103" s="10" t="n">
        <v>0</v>
      </c>
    </row>
    <row r="104" customFormat="false" ht="15" hidden="false" customHeight="false" outlineLevel="0" collapsed="false">
      <c r="A104" s="8" t="s">
        <v>223</v>
      </c>
      <c r="B104" s="8" t="s">
        <v>62</v>
      </c>
      <c r="C104" s="8" t="s">
        <v>129</v>
      </c>
      <c r="D104" s="8" t="s">
        <v>105</v>
      </c>
      <c r="E104" s="8" t="s">
        <v>80</v>
      </c>
      <c r="F104" s="8" t="s">
        <v>81</v>
      </c>
      <c r="G104" s="8" t="s">
        <v>82</v>
      </c>
      <c r="H104" s="9" t="n">
        <v>72</v>
      </c>
      <c r="I104" s="10" t="n">
        <f aca="false">H104</f>
        <v>72</v>
      </c>
      <c r="J104" s="10" t="n">
        <f aca="false">I104*0.21</f>
        <v>15.12</v>
      </c>
    </row>
    <row r="105" customFormat="false" ht="15" hidden="false" customHeight="false" outlineLevel="0" collapsed="false">
      <c r="A105" s="8" t="s">
        <v>223</v>
      </c>
      <c r="B105" s="8" t="s">
        <v>62</v>
      </c>
      <c r="C105" s="8" t="s">
        <v>227</v>
      </c>
      <c r="D105" s="8" t="s">
        <v>64</v>
      </c>
      <c r="E105" s="8" t="s">
        <v>65</v>
      </c>
      <c r="F105" s="8" t="s">
        <v>66</v>
      </c>
      <c r="G105" s="8" t="s">
        <v>67</v>
      </c>
      <c r="H105" s="9" t="n">
        <v>800</v>
      </c>
      <c r="I105" s="10" t="n">
        <f aca="false">H105</f>
        <v>800</v>
      </c>
      <c r="J105" s="10" t="n">
        <f aca="false">I105*0.21</f>
        <v>168</v>
      </c>
    </row>
    <row r="106" customFormat="false" ht="15" hidden="false" customHeight="false" outlineLevel="0" collapsed="false">
      <c r="A106" s="8" t="s">
        <v>228</v>
      </c>
      <c r="B106" s="8" t="s">
        <v>62</v>
      </c>
      <c r="C106" s="8" t="s">
        <v>229</v>
      </c>
      <c r="D106" s="8" t="s">
        <v>64</v>
      </c>
      <c r="E106" s="8" t="s">
        <v>65</v>
      </c>
      <c r="F106" s="8" t="s">
        <v>66</v>
      </c>
      <c r="G106" s="8" t="s">
        <v>67</v>
      </c>
      <c r="H106" s="9" t="n">
        <v>800</v>
      </c>
      <c r="I106" s="10" t="n">
        <f aca="false">H106</f>
        <v>800</v>
      </c>
      <c r="J106" s="10" t="n">
        <f aca="false">I106*0.21</f>
        <v>168</v>
      </c>
    </row>
    <row r="107" customFormat="false" ht="15" hidden="false" customHeight="false" outlineLevel="0" collapsed="false">
      <c r="A107" s="8" t="s">
        <v>230</v>
      </c>
      <c r="B107" s="8" t="s">
        <v>62</v>
      </c>
      <c r="C107" s="8" t="s">
        <v>231</v>
      </c>
      <c r="D107" s="8" t="s">
        <v>64</v>
      </c>
      <c r="E107" s="8" t="s">
        <v>65</v>
      </c>
      <c r="F107" s="8" t="s">
        <v>66</v>
      </c>
      <c r="G107" s="8" t="s">
        <v>67</v>
      </c>
      <c r="H107" s="9" t="n">
        <v>800</v>
      </c>
      <c r="I107" s="10" t="n">
        <f aca="false">H107</f>
        <v>800</v>
      </c>
      <c r="J107" s="10" t="n">
        <f aca="false">I107*0.21</f>
        <v>168</v>
      </c>
    </row>
    <row r="108" customFormat="false" ht="15" hidden="false" customHeight="false" outlineLevel="0" collapsed="false">
      <c r="A108" s="8" t="s">
        <v>230</v>
      </c>
      <c r="B108" s="8" t="s">
        <v>62</v>
      </c>
      <c r="C108" s="8" t="s">
        <v>148</v>
      </c>
      <c r="D108" s="8" t="s">
        <v>149</v>
      </c>
      <c r="E108" s="8" t="s">
        <v>100</v>
      </c>
      <c r="F108" s="8" t="s">
        <v>101</v>
      </c>
      <c r="G108" s="8" t="s">
        <v>102</v>
      </c>
      <c r="H108" s="9" t="n">
        <v>18.47</v>
      </c>
      <c r="I108" s="10" t="n">
        <f aca="false">H108</f>
        <v>18.47</v>
      </c>
      <c r="J108" s="10" t="n">
        <v>0</v>
      </c>
    </row>
    <row r="109" customFormat="false" ht="15" hidden="false" customHeight="false" outlineLevel="0" collapsed="false">
      <c r="A109" s="8" t="s">
        <v>232</v>
      </c>
      <c r="B109" s="8" t="s">
        <v>62</v>
      </c>
      <c r="C109" s="8" t="s">
        <v>88</v>
      </c>
      <c r="D109" s="8" t="s">
        <v>89</v>
      </c>
      <c r="E109" s="8" t="s">
        <v>71</v>
      </c>
      <c r="F109" s="8" t="s">
        <v>72</v>
      </c>
      <c r="G109" s="8" t="s">
        <v>73</v>
      </c>
      <c r="H109" s="9" t="n">
        <v>218.55</v>
      </c>
      <c r="I109" s="10" t="n">
        <f aca="false">H109/1.21</f>
        <v>180.619834710744</v>
      </c>
      <c r="J109" s="10" t="n">
        <f aca="false">H109-I109</f>
        <v>37.9301652892562</v>
      </c>
    </row>
    <row r="110" customFormat="false" ht="15" hidden="false" customHeight="false" outlineLevel="0" collapsed="false">
      <c r="A110" s="8" t="s">
        <v>232</v>
      </c>
      <c r="B110" s="8" t="s">
        <v>62</v>
      </c>
      <c r="C110" s="8" t="s">
        <v>88</v>
      </c>
      <c r="D110" s="8" t="s">
        <v>89</v>
      </c>
      <c r="E110" s="8" t="s">
        <v>71</v>
      </c>
      <c r="F110" s="8" t="s">
        <v>72</v>
      </c>
      <c r="G110" s="8" t="s">
        <v>73</v>
      </c>
      <c r="H110" s="9" t="n">
        <v>437.1</v>
      </c>
      <c r="I110" s="10" t="n">
        <f aca="false">H110/1.21</f>
        <v>361.239669421488</v>
      </c>
      <c r="J110" s="10" t="n">
        <f aca="false">H110-I110</f>
        <v>75.8603305785124</v>
      </c>
    </row>
    <row r="111" customFormat="false" ht="15" hidden="false" customHeight="false" outlineLevel="0" collapsed="false">
      <c r="A111" s="8" t="s">
        <v>232</v>
      </c>
      <c r="B111" s="8" t="s">
        <v>62</v>
      </c>
      <c r="C111" s="8" t="s">
        <v>84</v>
      </c>
      <c r="D111" s="8" t="s">
        <v>85</v>
      </c>
      <c r="E111" s="8" t="s">
        <v>71</v>
      </c>
      <c r="F111" s="8" t="s">
        <v>72</v>
      </c>
      <c r="G111" s="8" t="s">
        <v>73</v>
      </c>
      <c r="H111" s="9" t="n">
        <v>242</v>
      </c>
      <c r="I111" s="10" t="n">
        <f aca="false">H111/1.21</f>
        <v>200</v>
      </c>
      <c r="J111" s="10" t="n">
        <f aca="false">H111-I111</f>
        <v>42</v>
      </c>
    </row>
    <row r="112" customFormat="false" ht="15" hidden="false" customHeight="false" outlineLevel="0" collapsed="false">
      <c r="A112" s="8" t="s">
        <v>232</v>
      </c>
      <c r="B112" s="8" t="s">
        <v>62</v>
      </c>
      <c r="C112" s="8" t="s">
        <v>233</v>
      </c>
      <c r="D112" s="8" t="s">
        <v>79</v>
      </c>
      <c r="E112" s="8" t="s">
        <v>71</v>
      </c>
      <c r="F112" s="8" t="s">
        <v>72</v>
      </c>
      <c r="G112" s="8" t="s">
        <v>73</v>
      </c>
      <c r="H112" s="9" t="n">
        <v>6.78</v>
      </c>
      <c r="I112" s="10" t="n">
        <f aca="false">H112/1.21</f>
        <v>5.60330578512397</v>
      </c>
      <c r="J112" s="10" t="n">
        <f aca="false">H112-I112</f>
        <v>1.17669421487603</v>
      </c>
    </row>
    <row r="113" customFormat="false" ht="15" hidden="false" customHeight="false" outlineLevel="0" collapsed="false">
      <c r="A113" s="8" t="s">
        <v>232</v>
      </c>
      <c r="B113" s="8" t="s">
        <v>62</v>
      </c>
      <c r="C113" s="8" t="s">
        <v>86</v>
      </c>
      <c r="D113" s="8" t="s">
        <v>87</v>
      </c>
      <c r="E113" s="8" t="s">
        <v>71</v>
      </c>
      <c r="F113" s="8" t="s">
        <v>72</v>
      </c>
      <c r="G113" s="8" t="s">
        <v>73</v>
      </c>
      <c r="H113" s="9" t="n">
        <v>3251.79</v>
      </c>
      <c r="I113" s="10" t="n">
        <f aca="false">H113/1.21</f>
        <v>2687.42975206612</v>
      </c>
      <c r="J113" s="10" t="n">
        <f aca="false">H113-I113</f>
        <v>564.360247933884</v>
      </c>
    </row>
    <row r="114" customFormat="false" ht="15" hidden="false" customHeight="false" outlineLevel="0" collapsed="false">
      <c r="A114" s="8" t="s">
        <v>232</v>
      </c>
      <c r="B114" s="8" t="s">
        <v>62</v>
      </c>
      <c r="C114" s="8" t="s">
        <v>88</v>
      </c>
      <c r="D114" s="8" t="s">
        <v>89</v>
      </c>
      <c r="E114" s="8" t="s">
        <v>71</v>
      </c>
      <c r="F114" s="8" t="s">
        <v>72</v>
      </c>
      <c r="G114" s="8" t="s">
        <v>73</v>
      </c>
      <c r="H114" s="9" t="n">
        <v>238.42</v>
      </c>
      <c r="I114" s="10" t="n">
        <f aca="false">H114/1.21</f>
        <v>197.04132231405</v>
      </c>
      <c r="J114" s="10" t="n">
        <f aca="false">H114-I114</f>
        <v>41.3786776859504</v>
      </c>
    </row>
    <row r="115" customFormat="false" ht="15" hidden="false" customHeight="false" outlineLevel="0" collapsed="false">
      <c r="A115" s="8" t="s">
        <v>234</v>
      </c>
      <c r="B115" s="8" t="s">
        <v>62</v>
      </c>
      <c r="C115" s="8" t="s">
        <v>235</v>
      </c>
      <c r="D115" s="8" t="s">
        <v>236</v>
      </c>
      <c r="E115" s="8" t="s">
        <v>100</v>
      </c>
      <c r="F115" s="8" t="s">
        <v>101</v>
      </c>
      <c r="G115" s="8" t="s">
        <v>102</v>
      </c>
      <c r="H115" s="9" t="n">
        <v>0.91</v>
      </c>
      <c r="I115" s="10" t="n">
        <f aca="false">H115</f>
        <v>0.91</v>
      </c>
      <c r="J115" s="10" t="n">
        <v>0</v>
      </c>
    </row>
    <row r="116" customFormat="false" ht="15" hidden="false" customHeight="false" outlineLevel="0" collapsed="false">
      <c r="A116" s="8" t="s">
        <v>237</v>
      </c>
      <c r="B116" s="8" t="s">
        <v>62</v>
      </c>
      <c r="C116" s="8" t="s">
        <v>238</v>
      </c>
      <c r="D116" s="8" t="s">
        <v>64</v>
      </c>
      <c r="E116" s="8" t="s">
        <v>65</v>
      </c>
      <c r="F116" s="8" t="s">
        <v>66</v>
      </c>
      <c r="G116" s="8" t="s">
        <v>67</v>
      </c>
      <c r="H116" s="9" t="n">
        <v>800</v>
      </c>
      <c r="I116" s="10" t="n">
        <f aca="false">H116</f>
        <v>800</v>
      </c>
      <c r="J116" s="10" t="n">
        <f aca="false">I116*0.21</f>
        <v>168</v>
      </c>
    </row>
    <row r="117" customFormat="false" ht="15" hidden="false" customHeight="false" outlineLevel="0" collapsed="false">
      <c r="A117" s="8" t="s">
        <v>237</v>
      </c>
      <c r="B117" s="8" t="s">
        <v>62</v>
      </c>
      <c r="C117" s="8" t="s">
        <v>239</v>
      </c>
      <c r="D117" s="8" t="s">
        <v>236</v>
      </c>
      <c r="E117" s="8" t="s">
        <v>100</v>
      </c>
      <c r="F117" s="8" t="s">
        <v>101</v>
      </c>
      <c r="G117" s="8" t="s">
        <v>102</v>
      </c>
      <c r="H117" s="9" t="n">
        <v>24.56</v>
      </c>
      <c r="I117" s="10" t="n">
        <f aca="false">H117</f>
        <v>24.56</v>
      </c>
      <c r="J117" s="10" t="n">
        <v>0</v>
      </c>
    </row>
  </sheetData>
  <autoFilter ref="A3:J117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70"/>
    <col collapsed="false" customWidth="true" hidden="false" outlineLevel="0" max="3" min="3" style="0" width="16"/>
  </cols>
  <sheetData>
    <row r="1" customFormat="false" ht="15" hidden="false" customHeight="false" outlineLevel="0" collapsed="false">
      <c r="A1" s="6" t="s">
        <v>240</v>
      </c>
    </row>
    <row r="3" customFormat="false" ht="15" hidden="false" customHeight="false" outlineLevel="0" collapsed="false">
      <c r="A3" s="7" t="s">
        <v>241</v>
      </c>
      <c r="B3" s="7" t="s">
        <v>242</v>
      </c>
      <c r="C3" s="7" t="s">
        <v>243</v>
      </c>
    </row>
    <row r="4" customFormat="false" ht="15" hidden="false" customHeight="false" outlineLevel="0" collapsed="false">
      <c r="A4" s="8" t="s">
        <v>244</v>
      </c>
      <c r="B4" s="8" t="s">
        <v>245</v>
      </c>
      <c r="C4" s="9" t="n">
        <f aca="false">Verkopen!F9+Verkopen!G9/1.21+Verkopen!D16</f>
        <v>45046.0880165289</v>
      </c>
    </row>
    <row r="5" customFormat="false" ht="15" hidden="false" customHeight="false" outlineLevel="0" collapsed="false">
      <c r="A5" s="8" t="s">
        <v>246</v>
      </c>
      <c r="B5" s="8" t="s">
        <v>247</v>
      </c>
      <c r="C5" s="9" t="n">
        <f aca="false">Verkopen!H9+Verkopen!E16</f>
        <v>9512.19628099174</v>
      </c>
    </row>
    <row r="6" customFormat="false" ht="15" hidden="false" customHeight="false" outlineLevel="0" collapsed="false">
      <c r="A6" s="8" t="s">
        <v>248</v>
      </c>
      <c r="B6" s="8" t="s">
        <v>249</v>
      </c>
      <c r="C6" s="9" t="n">
        <f aca="false">SUMIFS(Aankopen!$I$4:$I$117,Aankopen!$E$4:$E$117,"BE21")+SUMIFS(Aankopen!$I$4:$I$117,Aankopen!$E$4:$E$117,"BE21NA")+SUMIFS(Aankopen!$I$4:$I$117,Aankopen!$E$4:$E$117,"GEEN")</f>
        <v>13551.8756198347</v>
      </c>
    </row>
    <row r="7" customFormat="false" ht="15" hidden="false" customHeight="false" outlineLevel="0" collapsed="false">
      <c r="A7" s="8" t="s">
        <v>250</v>
      </c>
      <c r="B7" s="8" t="s">
        <v>251</v>
      </c>
      <c r="C7" s="9" t="n">
        <f aca="false">SUMIFS(Aankopen!$I$4:$I$117,Aankopen!$E$4:$E$117,"EU")</f>
        <v>26128.03</v>
      </c>
    </row>
    <row r="8" customFormat="false" ht="15" hidden="false" customHeight="false" outlineLevel="0" collapsed="false">
      <c r="A8" s="8" t="s">
        <v>252</v>
      </c>
      <c r="B8" s="8" t="s">
        <v>253</v>
      </c>
      <c r="C8" s="9" t="n">
        <f aca="false">SUMIFS(Aankopen!$J$4:$J$117,Aankopen!$E$4:$E$117,"EU")</f>
        <v>5486.8863</v>
      </c>
    </row>
    <row r="9" customFormat="false" ht="15" hidden="false" customHeight="false" outlineLevel="0" collapsed="false">
      <c r="A9" s="8" t="s">
        <v>254</v>
      </c>
      <c r="B9" s="8" t="s">
        <v>255</v>
      </c>
      <c r="C9" s="9" t="n">
        <f aca="false">SUMIFS(Aankopen!$I$4:$I$117,Aankopen!$E$4:$E$117,"NONEU")+0</f>
        <v>469.65</v>
      </c>
    </row>
    <row r="10" customFormat="false" ht="15" hidden="false" customHeight="false" outlineLevel="0" collapsed="false">
      <c r="A10" s="8" t="s">
        <v>256</v>
      </c>
      <c r="B10" s="8" t="s">
        <v>257</v>
      </c>
      <c r="C10" s="9" t="n">
        <f aca="false">SUMIFS(Aankopen!$J$4:$J$117,Aankopen!$E$4:$E$117,"NONEU")</f>
        <v>98.6265</v>
      </c>
    </row>
    <row r="11" customFormat="false" ht="15" hidden="false" customHeight="false" outlineLevel="0" collapsed="false">
      <c r="A11" s="8" t="s">
        <v>258</v>
      </c>
      <c r="B11" s="8" t="s">
        <v>259</v>
      </c>
      <c r="C11" s="9" t="n">
        <f aca="false">SUMIFS(Aankopen!$J$4:$J$117,Aankopen!$E$4:$E$117,"BE21")+C8+C10+C15</f>
        <v>8259.72048595041</v>
      </c>
    </row>
    <row r="12" customFormat="false" ht="15" hidden="false" customHeight="false" outlineLevel="0" collapsed="false">
      <c r="A12" s="8"/>
      <c r="B12" s="8" t="s">
        <v>260</v>
      </c>
      <c r="C12" s="9" t="n">
        <f aca="false">C5+C8+C10+C15-C11</f>
        <v>6837.98859504132</v>
      </c>
    </row>
    <row r="13" customFormat="false" ht="15" hidden="false" customHeight="false" outlineLevel="0" collapsed="false">
      <c r="A13" s="8"/>
      <c r="B13" s="8" t="s">
        <v>261</v>
      </c>
      <c r="C13" s="9" t="n">
        <v>6873.24</v>
      </c>
    </row>
    <row r="14" customFormat="false" ht="15" hidden="false" customHeight="false" outlineLevel="0" collapsed="false">
      <c r="A14" s="8"/>
      <c r="B14" s="8" t="s">
        <v>262</v>
      </c>
      <c r="C14" s="9" t="n">
        <f aca="false">C12-C13</f>
        <v>-35.2514049586753</v>
      </c>
    </row>
    <row r="15" customFormat="false" ht="15" hidden="false" customHeight="false" outlineLevel="0" collapsed="false">
      <c r="A15" s="8" t="s">
        <v>263</v>
      </c>
      <c r="B15" s="8" t="s">
        <v>264</v>
      </c>
      <c r="C15" s="9" t="n">
        <v>0</v>
      </c>
    </row>
    <row r="16" customFormat="false" ht="15" hidden="false" customHeight="false" outlineLevel="0" collapsed="false">
      <c r="A16" s="5" t="s">
        <v>265</v>
      </c>
    </row>
    <row r="17" customFormat="false" ht="15" hidden="false" customHeight="false" outlineLevel="0" collapsed="false">
      <c r="A17" s="5" t="s">
        <v>266</v>
      </c>
    </row>
    <row r="18" customFormat="false" ht="15" hidden="false" customHeight="false" outlineLevel="0" collapsed="false">
      <c r="A18" s="5" t="s">
        <v>267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8"/>
    <col collapsed="false" customWidth="true" hidden="false" outlineLevel="0" max="2" min="2" style="0" width="7"/>
    <col collapsed="false" customWidth="true" hidden="false" outlineLevel="0" max="6" min="3" style="0" width="14"/>
    <col collapsed="false" customWidth="true" hidden="false" outlineLevel="0" max="7" min="7" style="0" width="13"/>
  </cols>
  <sheetData>
    <row r="1" customFormat="false" ht="15" hidden="false" customHeight="false" outlineLevel="0" collapsed="false">
      <c r="A1" s="6" t="s">
        <v>268</v>
      </c>
    </row>
    <row r="3" customFormat="false" ht="26.85" hidden="false" customHeight="false" outlineLevel="0" collapsed="false">
      <c r="A3" s="7" t="s">
        <v>53</v>
      </c>
      <c r="B3" s="7" t="s">
        <v>269</v>
      </c>
      <c r="C3" s="7" t="s">
        <v>270</v>
      </c>
      <c r="D3" s="7" t="s">
        <v>271</v>
      </c>
      <c r="E3" s="7" t="s">
        <v>272</v>
      </c>
      <c r="F3" s="7" t="s">
        <v>273</v>
      </c>
      <c r="G3" s="7" t="s">
        <v>274</v>
      </c>
      <c r="H3" s="11" t="s">
        <v>275</v>
      </c>
    </row>
    <row r="4" customFormat="false" ht="15" hidden="false" customHeight="false" outlineLevel="0" collapsed="false">
      <c r="A4" s="8" t="s">
        <v>276</v>
      </c>
      <c r="B4" s="8" t="s">
        <v>277</v>
      </c>
      <c r="C4" s="9" t="n">
        <v>7820.06</v>
      </c>
      <c r="D4" s="9" t="n">
        <v>53220.46</v>
      </c>
      <c r="E4" s="9" t="n">
        <v>-61371.71</v>
      </c>
      <c r="F4" s="9" t="n">
        <v>-331.19</v>
      </c>
      <c r="G4" s="8" t="n">
        <v>165</v>
      </c>
      <c r="H4" s="10" t="n">
        <f aca="false">C4+D4+E4-F4</f>
        <v>-2.33058017329313E-012</v>
      </c>
    </row>
    <row r="5" customFormat="false" ht="15" hidden="false" customHeight="false" outlineLevel="0" collapsed="false">
      <c r="A5" s="8" t="s">
        <v>278</v>
      </c>
      <c r="B5" s="8" t="s">
        <v>277</v>
      </c>
      <c r="C5" s="9" t="n">
        <v>235.25</v>
      </c>
      <c r="D5" s="9" t="n">
        <v>9035</v>
      </c>
      <c r="E5" s="9" t="n">
        <v>-9270.25</v>
      </c>
      <c r="F5" s="9" t="n">
        <v>0</v>
      </c>
      <c r="G5" s="8" t="n">
        <v>6</v>
      </c>
      <c r="H5" s="10" t="n">
        <f aca="false">C5+D5+E5-F5</f>
        <v>0</v>
      </c>
    </row>
    <row r="6" customFormat="false" ht="15" hidden="false" customHeight="false" outlineLevel="0" collapsed="false">
      <c r="A6" s="8" t="s">
        <v>279</v>
      </c>
      <c r="B6" s="8" t="s">
        <v>280</v>
      </c>
      <c r="C6" s="9" t="n">
        <v>0</v>
      </c>
      <c r="D6" s="9" t="n">
        <v>10610.49</v>
      </c>
      <c r="E6" s="9" t="n">
        <v>-10040.65</v>
      </c>
      <c r="F6" s="9" t="n">
        <v>569.84</v>
      </c>
      <c r="G6" s="8" t="n">
        <v>3</v>
      </c>
      <c r="H6" s="10" t="n">
        <f aca="false">C6+D6+E6-F6</f>
        <v>0</v>
      </c>
    </row>
    <row r="8" customFormat="false" ht="15" hidden="false" customHeight="false" outlineLevel="0" collapsed="false">
      <c r="A8" s="5" t="s">
        <v>281</v>
      </c>
    </row>
    <row r="9" customFormat="false" ht="15" hidden="false" customHeight="false" outlineLevel="0" collapsed="false">
      <c r="A9" s="0" t="s">
        <v>282</v>
      </c>
      <c r="F9" s="10" t="n">
        <v>3737.8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0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1"/>
    <col collapsed="false" customWidth="true" hidden="false" outlineLevel="0" max="2" min="2" style="0" width="40"/>
    <col collapsed="false" customWidth="true" hidden="false" outlineLevel="0" max="3" min="3" style="0" width="14"/>
    <col collapsed="false" customWidth="true" hidden="false" outlineLevel="0" max="4" min="4" style="0" width="10"/>
    <col collapsed="false" customWidth="true" hidden="false" outlineLevel="0" max="5" min="5" style="0" width="12"/>
    <col collapsed="false" customWidth="true" hidden="false" outlineLevel="0" max="6" min="6" style="0" width="50"/>
  </cols>
  <sheetData>
    <row r="1" customFormat="false" ht="15" hidden="false" customHeight="false" outlineLevel="0" collapsed="false">
      <c r="A1" s="6" t="s">
        <v>283</v>
      </c>
    </row>
    <row r="3" customFormat="false" ht="15" hidden="false" customHeight="false" outlineLevel="0" collapsed="false">
      <c r="A3" s="7" t="s">
        <v>52</v>
      </c>
      <c r="B3" s="7" t="s">
        <v>284</v>
      </c>
      <c r="C3" s="7" t="s">
        <v>243</v>
      </c>
      <c r="D3" s="7" t="s">
        <v>56</v>
      </c>
      <c r="E3" s="7" t="s">
        <v>285</v>
      </c>
      <c r="F3" s="7" t="s">
        <v>286</v>
      </c>
    </row>
    <row r="4" customFormat="false" ht="15" hidden="false" customHeight="false" outlineLevel="0" collapsed="false">
      <c r="A4" s="8" t="s">
        <v>61</v>
      </c>
      <c r="B4" s="8" t="s">
        <v>287</v>
      </c>
      <c r="C4" s="9" t="n">
        <v>-75.9</v>
      </c>
      <c r="D4" s="8" t="s">
        <v>65</v>
      </c>
      <c r="E4" s="8" t="s">
        <v>288</v>
      </c>
      <c r="F4" s="8"/>
    </row>
    <row r="5" customFormat="false" ht="15" hidden="false" customHeight="false" outlineLevel="0" collapsed="false">
      <c r="A5" s="8" t="s">
        <v>61</v>
      </c>
      <c r="B5" s="8" t="s">
        <v>70</v>
      </c>
      <c r="C5" s="9" t="n">
        <v>-2.42</v>
      </c>
      <c r="D5" s="8" t="s">
        <v>71</v>
      </c>
      <c r="E5" s="8" t="s">
        <v>288</v>
      </c>
      <c r="F5" s="8"/>
    </row>
    <row r="6" customFormat="false" ht="15" hidden="false" customHeight="false" outlineLevel="0" collapsed="false">
      <c r="A6" s="8" t="s">
        <v>61</v>
      </c>
      <c r="B6" s="8" t="s">
        <v>75</v>
      </c>
      <c r="C6" s="9" t="n">
        <v>-158.5</v>
      </c>
      <c r="D6" s="8" t="s">
        <v>65</v>
      </c>
      <c r="E6" s="8" t="s">
        <v>288</v>
      </c>
      <c r="F6" s="8"/>
    </row>
    <row r="7" customFormat="false" ht="15" hidden="false" customHeight="false" outlineLevel="0" collapsed="false">
      <c r="A7" s="8" t="s">
        <v>77</v>
      </c>
      <c r="B7" s="8" t="s">
        <v>78</v>
      </c>
      <c r="C7" s="9" t="n">
        <v>-86</v>
      </c>
      <c r="D7" s="8" t="s">
        <v>80</v>
      </c>
      <c r="E7" s="8" t="s">
        <v>288</v>
      </c>
      <c r="F7" s="8"/>
    </row>
    <row r="8" customFormat="false" ht="15" hidden="false" customHeight="false" outlineLevel="0" collapsed="false">
      <c r="A8" s="8" t="s">
        <v>83</v>
      </c>
      <c r="B8" s="8" t="s">
        <v>84</v>
      </c>
      <c r="C8" s="9" t="n">
        <v>-242</v>
      </c>
      <c r="D8" s="8" t="s">
        <v>71</v>
      </c>
      <c r="E8" s="8" t="s">
        <v>288</v>
      </c>
      <c r="F8" s="8"/>
    </row>
    <row r="9" customFormat="false" ht="15" hidden="false" customHeight="false" outlineLevel="0" collapsed="false">
      <c r="A9" s="8" t="s">
        <v>83</v>
      </c>
      <c r="B9" s="8" t="s">
        <v>84</v>
      </c>
      <c r="C9" s="9" t="n">
        <v>-242</v>
      </c>
      <c r="D9" s="8" t="s">
        <v>71</v>
      </c>
      <c r="E9" s="8" t="s">
        <v>288</v>
      </c>
      <c r="F9" s="8"/>
    </row>
    <row r="10" customFormat="false" ht="15" hidden="false" customHeight="false" outlineLevel="0" collapsed="false">
      <c r="A10" s="8" t="s">
        <v>83</v>
      </c>
      <c r="B10" s="8" t="s">
        <v>86</v>
      </c>
      <c r="C10" s="9" t="n">
        <v>-527.83</v>
      </c>
      <c r="D10" s="8" t="s">
        <v>71</v>
      </c>
      <c r="E10" s="8" t="s">
        <v>288</v>
      </c>
      <c r="F10" s="8"/>
    </row>
    <row r="11" customFormat="false" ht="15" hidden="false" customHeight="false" outlineLevel="0" collapsed="false">
      <c r="A11" s="8" t="s">
        <v>83</v>
      </c>
      <c r="B11" s="8" t="s">
        <v>88</v>
      </c>
      <c r="C11" s="9" t="n">
        <v>-75.78</v>
      </c>
      <c r="D11" s="8" t="s">
        <v>71</v>
      </c>
      <c r="E11" s="8" t="s">
        <v>288</v>
      </c>
      <c r="F11" s="8"/>
    </row>
    <row r="12" customFormat="false" ht="15" hidden="false" customHeight="false" outlineLevel="0" collapsed="false">
      <c r="A12" s="8" t="s">
        <v>83</v>
      </c>
      <c r="B12" s="8" t="s">
        <v>90</v>
      </c>
      <c r="C12" s="9" t="n">
        <v>-91.84</v>
      </c>
      <c r="D12" s="8" t="s">
        <v>92</v>
      </c>
      <c r="E12" s="8" t="s">
        <v>288</v>
      </c>
      <c r="F12" s="8"/>
    </row>
    <row r="13" customFormat="false" ht="15" hidden="false" customHeight="false" outlineLevel="0" collapsed="false">
      <c r="A13" s="8" t="s">
        <v>83</v>
      </c>
      <c r="B13" s="8" t="s">
        <v>88</v>
      </c>
      <c r="C13" s="9" t="n">
        <v>-18.95</v>
      </c>
      <c r="D13" s="8" t="s">
        <v>71</v>
      </c>
      <c r="E13" s="8" t="s">
        <v>288</v>
      </c>
      <c r="F13" s="8"/>
    </row>
    <row r="14" customFormat="false" ht="15" hidden="false" customHeight="false" outlineLevel="0" collapsed="false">
      <c r="A14" s="8" t="s">
        <v>97</v>
      </c>
      <c r="B14" s="8" t="s">
        <v>99</v>
      </c>
      <c r="C14" s="9" t="n">
        <v>-35</v>
      </c>
      <c r="D14" s="8" t="s">
        <v>100</v>
      </c>
      <c r="E14" s="8" t="s">
        <v>288</v>
      </c>
      <c r="F14" s="8"/>
    </row>
    <row r="15" customFormat="false" ht="15" hidden="false" customHeight="false" outlineLevel="0" collapsed="false">
      <c r="A15" s="8" t="s">
        <v>97</v>
      </c>
      <c r="B15" s="8" t="s">
        <v>104</v>
      </c>
      <c r="C15" s="9" t="n">
        <v>-41.98</v>
      </c>
      <c r="D15" s="8" t="s">
        <v>65</v>
      </c>
      <c r="E15" s="8" t="s">
        <v>288</v>
      </c>
      <c r="F15" s="8"/>
    </row>
    <row r="16" customFormat="false" ht="15" hidden="false" customHeight="false" outlineLevel="0" collapsed="false">
      <c r="A16" s="8" t="s">
        <v>106</v>
      </c>
      <c r="B16" s="8" t="s">
        <v>107</v>
      </c>
      <c r="C16" s="9" t="n">
        <v>-261.04</v>
      </c>
      <c r="D16" s="8" t="s">
        <v>71</v>
      </c>
      <c r="E16" s="8" t="s">
        <v>288</v>
      </c>
      <c r="F16" s="8"/>
    </row>
    <row r="17" customFormat="false" ht="15" hidden="false" customHeight="false" outlineLevel="0" collapsed="false">
      <c r="A17" s="8" t="s">
        <v>106</v>
      </c>
      <c r="B17" s="8" t="s">
        <v>107</v>
      </c>
      <c r="C17" s="9" t="n">
        <v>-364.58</v>
      </c>
      <c r="D17" s="8" t="s">
        <v>71</v>
      </c>
      <c r="E17" s="8" t="s">
        <v>288</v>
      </c>
      <c r="F17" s="8"/>
    </row>
    <row r="18" customFormat="false" ht="15" hidden="false" customHeight="false" outlineLevel="0" collapsed="false">
      <c r="A18" s="8" t="s">
        <v>108</v>
      </c>
      <c r="B18" s="8" t="s">
        <v>109</v>
      </c>
      <c r="C18" s="9" t="n">
        <v>-53.5</v>
      </c>
      <c r="D18" s="8" t="s">
        <v>80</v>
      </c>
      <c r="E18" s="8" t="s">
        <v>288</v>
      </c>
      <c r="F18" s="8"/>
    </row>
    <row r="19" customFormat="false" ht="15" hidden="false" customHeight="false" outlineLevel="0" collapsed="false">
      <c r="A19" s="8" t="s">
        <v>110</v>
      </c>
      <c r="B19" s="8" t="s">
        <v>111</v>
      </c>
      <c r="C19" s="9" t="n">
        <v>-141.39</v>
      </c>
      <c r="D19" s="8" t="s">
        <v>65</v>
      </c>
      <c r="E19" s="8" t="s">
        <v>288</v>
      </c>
      <c r="F19" s="8"/>
    </row>
    <row r="20" customFormat="false" ht="15" hidden="false" customHeight="false" outlineLevel="0" collapsed="false">
      <c r="A20" s="8" t="s">
        <v>112</v>
      </c>
      <c r="B20" s="8" t="s">
        <v>75</v>
      </c>
      <c r="C20" s="9" t="n">
        <v>-500</v>
      </c>
      <c r="D20" s="8" t="s">
        <v>65</v>
      </c>
      <c r="E20" s="8" t="s">
        <v>288</v>
      </c>
      <c r="F20" s="8"/>
    </row>
    <row r="21" customFormat="false" ht="15" hidden="false" customHeight="false" outlineLevel="0" collapsed="false">
      <c r="A21" s="8" t="s">
        <v>125</v>
      </c>
      <c r="B21" s="8" t="s">
        <v>289</v>
      </c>
      <c r="C21" s="9" t="n">
        <v>-72</v>
      </c>
      <c r="D21" s="8" t="s">
        <v>80</v>
      </c>
      <c r="E21" s="8" t="s">
        <v>288</v>
      </c>
      <c r="F21" s="8"/>
    </row>
    <row r="22" customFormat="false" ht="15" hidden="false" customHeight="false" outlineLevel="0" collapsed="false">
      <c r="A22" s="8" t="s">
        <v>130</v>
      </c>
      <c r="B22" s="8" t="s">
        <v>131</v>
      </c>
      <c r="C22" s="9" t="n">
        <v>-665</v>
      </c>
      <c r="D22" s="8" t="s">
        <v>92</v>
      </c>
      <c r="E22" s="8" t="s">
        <v>288</v>
      </c>
      <c r="F22" s="8"/>
    </row>
    <row r="23" customFormat="false" ht="15" hidden="false" customHeight="false" outlineLevel="0" collapsed="false">
      <c r="A23" s="8" t="s">
        <v>130</v>
      </c>
      <c r="B23" s="8" t="s">
        <v>131</v>
      </c>
      <c r="C23" s="9" t="n">
        <v>-360</v>
      </c>
      <c r="D23" s="8" t="s">
        <v>92</v>
      </c>
      <c r="E23" s="8" t="s">
        <v>288</v>
      </c>
      <c r="F23" s="8"/>
    </row>
    <row r="24" customFormat="false" ht="15" hidden="false" customHeight="false" outlineLevel="0" collapsed="false">
      <c r="A24" s="8" t="s">
        <v>134</v>
      </c>
      <c r="B24" s="8" t="s">
        <v>290</v>
      </c>
      <c r="C24" s="9" t="n">
        <v>-5.6</v>
      </c>
      <c r="D24" s="8" t="s">
        <v>71</v>
      </c>
      <c r="E24" s="8" t="s">
        <v>288</v>
      </c>
      <c r="F24" s="8"/>
    </row>
    <row r="25" customFormat="false" ht="15" hidden="false" customHeight="false" outlineLevel="0" collapsed="false">
      <c r="A25" s="8" t="s">
        <v>134</v>
      </c>
      <c r="B25" s="8" t="s">
        <v>291</v>
      </c>
      <c r="C25" s="9" t="n">
        <v>-15</v>
      </c>
      <c r="D25" s="8" t="s">
        <v>138</v>
      </c>
      <c r="E25" s="8" t="s">
        <v>288</v>
      </c>
      <c r="F25" s="8"/>
    </row>
    <row r="26" customFormat="false" ht="15" hidden="false" customHeight="false" outlineLevel="0" collapsed="false">
      <c r="A26" s="8" t="s">
        <v>141</v>
      </c>
      <c r="B26" s="8" t="s">
        <v>143</v>
      </c>
      <c r="C26" s="9" t="n">
        <v>-210</v>
      </c>
      <c r="D26" s="8" t="s">
        <v>92</v>
      </c>
      <c r="E26" s="8" t="s">
        <v>288</v>
      </c>
      <c r="F26" s="8"/>
    </row>
    <row r="27" customFormat="false" ht="15" hidden="false" customHeight="false" outlineLevel="0" collapsed="false">
      <c r="A27" s="8" t="s">
        <v>141</v>
      </c>
      <c r="B27" s="8" t="s">
        <v>292</v>
      </c>
      <c r="C27" s="9" t="n">
        <v>-59</v>
      </c>
      <c r="D27" s="8" t="s">
        <v>71</v>
      </c>
      <c r="E27" s="8" t="s">
        <v>288</v>
      </c>
      <c r="F27" s="8"/>
    </row>
    <row r="28" customFormat="false" ht="15" hidden="false" customHeight="false" outlineLevel="0" collapsed="false">
      <c r="A28" s="8" t="s">
        <v>141</v>
      </c>
      <c r="B28" s="8" t="s">
        <v>148</v>
      </c>
      <c r="C28" s="9" t="n">
        <v>-18.47</v>
      </c>
      <c r="D28" s="8" t="s">
        <v>100</v>
      </c>
      <c r="E28" s="8" t="s">
        <v>288</v>
      </c>
      <c r="F28" s="8"/>
    </row>
    <row r="29" customFormat="false" ht="15" hidden="false" customHeight="false" outlineLevel="0" collapsed="false">
      <c r="A29" s="8" t="s">
        <v>141</v>
      </c>
      <c r="B29" s="8" t="s">
        <v>150</v>
      </c>
      <c r="C29" s="9" t="n">
        <v>-293.64</v>
      </c>
      <c r="D29" s="8" t="s">
        <v>71</v>
      </c>
      <c r="E29" s="8" t="s">
        <v>288</v>
      </c>
      <c r="F29" s="8"/>
    </row>
    <row r="30" customFormat="false" ht="15" hidden="false" customHeight="false" outlineLevel="0" collapsed="false">
      <c r="A30" s="8" t="s">
        <v>151</v>
      </c>
      <c r="B30" s="8" t="s">
        <v>290</v>
      </c>
      <c r="C30" s="9" t="n">
        <v>-7.1</v>
      </c>
      <c r="D30" s="8" t="s">
        <v>71</v>
      </c>
      <c r="E30" s="8" t="s">
        <v>288</v>
      </c>
      <c r="F30" s="8"/>
    </row>
    <row r="31" customFormat="false" ht="15" hidden="false" customHeight="false" outlineLevel="0" collapsed="false">
      <c r="A31" s="8" t="s">
        <v>152</v>
      </c>
      <c r="B31" s="8" t="s">
        <v>153</v>
      </c>
      <c r="C31" s="9" t="n">
        <v>-7.1</v>
      </c>
      <c r="D31" s="8" t="s">
        <v>71</v>
      </c>
      <c r="E31" s="8" t="s">
        <v>288</v>
      </c>
      <c r="F31" s="8"/>
    </row>
    <row r="32" customFormat="false" ht="15" hidden="false" customHeight="false" outlineLevel="0" collapsed="false">
      <c r="A32" s="8" t="s">
        <v>152</v>
      </c>
      <c r="B32" s="8" t="s">
        <v>293</v>
      </c>
      <c r="C32" s="9" t="n">
        <v>-47.1</v>
      </c>
      <c r="D32" s="8" t="s">
        <v>71</v>
      </c>
      <c r="E32" s="8" t="s">
        <v>288</v>
      </c>
      <c r="F32" s="8"/>
    </row>
    <row r="33" customFormat="false" ht="15" hidden="false" customHeight="false" outlineLevel="0" collapsed="false">
      <c r="A33" s="8" t="s">
        <v>157</v>
      </c>
      <c r="B33" s="8" t="s">
        <v>75</v>
      </c>
      <c r="C33" s="9" t="n">
        <v>-198.56</v>
      </c>
      <c r="D33" s="8" t="s">
        <v>65</v>
      </c>
      <c r="E33" s="8" t="s">
        <v>288</v>
      </c>
      <c r="F33" s="8"/>
    </row>
    <row r="34" customFormat="false" ht="15" hidden="false" customHeight="false" outlineLevel="0" collapsed="false">
      <c r="A34" s="8" t="s">
        <v>158</v>
      </c>
      <c r="B34" s="8" t="s">
        <v>153</v>
      </c>
      <c r="C34" s="9" t="n">
        <v>-7.85</v>
      </c>
      <c r="D34" s="8" t="s">
        <v>71</v>
      </c>
      <c r="E34" s="8" t="s">
        <v>288</v>
      </c>
      <c r="F34" s="8"/>
    </row>
    <row r="35" customFormat="false" ht="15" hidden="false" customHeight="false" outlineLevel="0" collapsed="false">
      <c r="A35" s="8" t="s">
        <v>158</v>
      </c>
      <c r="B35" s="8" t="s">
        <v>287</v>
      </c>
      <c r="C35" s="9" t="n">
        <v>-75.9</v>
      </c>
      <c r="D35" s="8" t="s">
        <v>65</v>
      </c>
      <c r="E35" s="8" t="s">
        <v>288</v>
      </c>
      <c r="F35" s="8"/>
    </row>
    <row r="36" customFormat="false" ht="15" hidden="false" customHeight="false" outlineLevel="0" collapsed="false">
      <c r="A36" s="8" t="s">
        <v>160</v>
      </c>
      <c r="B36" s="8" t="s">
        <v>70</v>
      </c>
      <c r="C36" s="9" t="n">
        <v>-2.42</v>
      </c>
      <c r="D36" s="8" t="s">
        <v>71</v>
      </c>
      <c r="E36" s="8" t="s">
        <v>288</v>
      </c>
      <c r="F36" s="8"/>
    </row>
    <row r="37" customFormat="false" ht="15" hidden="false" customHeight="false" outlineLevel="0" collapsed="false">
      <c r="A37" s="8" t="s">
        <v>163</v>
      </c>
      <c r="B37" s="8" t="s">
        <v>164</v>
      </c>
      <c r="C37" s="9" t="n">
        <v>-174.81</v>
      </c>
      <c r="D37" s="8" t="s">
        <v>65</v>
      </c>
      <c r="E37" s="8" t="s">
        <v>288</v>
      </c>
      <c r="F37" s="8"/>
    </row>
    <row r="38" customFormat="false" ht="15" hidden="false" customHeight="false" outlineLevel="0" collapsed="false">
      <c r="A38" s="8" t="s">
        <v>165</v>
      </c>
      <c r="B38" s="8" t="s">
        <v>99</v>
      </c>
      <c r="C38" s="9" t="n">
        <v>-35</v>
      </c>
      <c r="D38" s="8" t="s">
        <v>100</v>
      </c>
      <c r="E38" s="8" t="s">
        <v>288</v>
      </c>
      <c r="F38" s="8"/>
    </row>
    <row r="39" customFormat="false" ht="15" hidden="false" customHeight="false" outlineLevel="0" collapsed="false">
      <c r="A39" s="8" t="s">
        <v>166</v>
      </c>
      <c r="B39" s="8" t="s">
        <v>294</v>
      </c>
      <c r="C39" s="9" t="n">
        <v>-10.02</v>
      </c>
      <c r="D39" s="8" t="s">
        <v>71</v>
      </c>
      <c r="E39" s="8" t="s">
        <v>288</v>
      </c>
      <c r="F39" s="8"/>
    </row>
    <row r="40" customFormat="false" ht="15" hidden="false" customHeight="false" outlineLevel="0" collapsed="false">
      <c r="A40" s="8" t="s">
        <v>169</v>
      </c>
      <c r="B40" s="8" t="s">
        <v>143</v>
      </c>
      <c r="C40" s="9" t="n">
        <v>-230</v>
      </c>
      <c r="D40" s="8" t="s">
        <v>92</v>
      </c>
      <c r="E40" s="8" t="s">
        <v>288</v>
      </c>
      <c r="F40" s="8"/>
    </row>
    <row r="41" customFormat="false" ht="15" hidden="false" customHeight="false" outlineLevel="0" collapsed="false">
      <c r="A41" s="8" t="s">
        <v>169</v>
      </c>
      <c r="B41" s="8" t="s">
        <v>295</v>
      </c>
      <c r="C41" s="9" t="n">
        <v>-94.25</v>
      </c>
      <c r="D41" s="8" t="s">
        <v>100</v>
      </c>
      <c r="E41" s="8" t="s">
        <v>288</v>
      </c>
      <c r="F41" s="8"/>
    </row>
    <row r="42" customFormat="false" ht="15" hidden="false" customHeight="false" outlineLevel="0" collapsed="false">
      <c r="A42" s="8" t="s">
        <v>169</v>
      </c>
      <c r="B42" s="8" t="s">
        <v>143</v>
      </c>
      <c r="C42" s="9" t="n">
        <v>-230</v>
      </c>
      <c r="D42" s="8" t="s">
        <v>92</v>
      </c>
      <c r="E42" s="8" t="s">
        <v>288</v>
      </c>
      <c r="F42" s="8"/>
    </row>
    <row r="43" customFormat="false" ht="15" hidden="false" customHeight="false" outlineLevel="0" collapsed="false">
      <c r="A43" s="8" t="s">
        <v>169</v>
      </c>
      <c r="B43" s="8" t="s">
        <v>173</v>
      </c>
      <c r="C43" s="9" t="n">
        <v>-32</v>
      </c>
      <c r="D43" s="8" t="s">
        <v>65</v>
      </c>
      <c r="E43" s="8" t="s">
        <v>288</v>
      </c>
      <c r="F43" s="8"/>
    </row>
    <row r="44" customFormat="false" ht="15" hidden="false" customHeight="false" outlineLevel="0" collapsed="false">
      <c r="A44" s="8" t="s">
        <v>169</v>
      </c>
      <c r="B44" s="8" t="s">
        <v>109</v>
      </c>
      <c r="C44" s="9" t="n">
        <v>-52.94</v>
      </c>
      <c r="D44" s="8" t="s">
        <v>80</v>
      </c>
      <c r="E44" s="8" t="s">
        <v>288</v>
      </c>
      <c r="F44" s="8"/>
    </row>
    <row r="45" customFormat="false" ht="15" hidden="false" customHeight="false" outlineLevel="0" collapsed="false">
      <c r="A45" s="8" t="s">
        <v>174</v>
      </c>
      <c r="B45" s="8" t="s">
        <v>296</v>
      </c>
      <c r="C45" s="9" t="n">
        <v>-174.28</v>
      </c>
      <c r="D45" s="8" t="s">
        <v>92</v>
      </c>
      <c r="E45" s="8" t="s">
        <v>288</v>
      </c>
      <c r="F45" s="8"/>
    </row>
    <row r="46" customFormat="false" ht="15" hidden="false" customHeight="false" outlineLevel="0" collapsed="false">
      <c r="A46" s="8" t="s">
        <v>176</v>
      </c>
      <c r="B46" s="8" t="s">
        <v>297</v>
      </c>
      <c r="C46" s="9" t="n">
        <v>-27</v>
      </c>
      <c r="D46" s="8" t="s">
        <v>138</v>
      </c>
      <c r="E46" s="8" t="s">
        <v>288</v>
      </c>
      <c r="F46" s="8"/>
    </row>
    <row r="47" customFormat="false" ht="15" hidden="false" customHeight="false" outlineLevel="0" collapsed="false">
      <c r="A47" s="8" t="s">
        <v>180</v>
      </c>
      <c r="B47" s="8" t="s">
        <v>153</v>
      </c>
      <c r="C47" s="9" t="n">
        <v>-5.4</v>
      </c>
      <c r="D47" s="8" t="s">
        <v>71</v>
      </c>
      <c r="E47" s="8" t="s">
        <v>288</v>
      </c>
      <c r="F47" s="8"/>
    </row>
    <row r="48" customFormat="false" ht="15" hidden="false" customHeight="false" outlineLevel="0" collapsed="false">
      <c r="A48" s="8" t="s">
        <v>183</v>
      </c>
      <c r="B48" s="8" t="s">
        <v>298</v>
      </c>
      <c r="C48" s="9" t="n">
        <v>-249</v>
      </c>
      <c r="D48" s="8" t="s">
        <v>138</v>
      </c>
      <c r="E48" s="8" t="s">
        <v>288</v>
      </c>
      <c r="F48" s="8"/>
    </row>
    <row r="49" customFormat="false" ht="15" hidden="false" customHeight="false" outlineLevel="0" collapsed="false">
      <c r="A49" s="8" t="s">
        <v>185</v>
      </c>
      <c r="B49" s="8" t="s">
        <v>289</v>
      </c>
      <c r="C49" s="9" t="n">
        <v>-72</v>
      </c>
      <c r="D49" s="8" t="s">
        <v>80</v>
      </c>
      <c r="E49" s="8" t="s">
        <v>288</v>
      </c>
      <c r="F49" s="8"/>
    </row>
    <row r="50" customFormat="false" ht="15" hidden="false" customHeight="false" outlineLevel="0" collapsed="false">
      <c r="A50" s="8" t="s">
        <v>185</v>
      </c>
      <c r="B50" s="8" t="s">
        <v>88</v>
      </c>
      <c r="C50" s="9" t="n">
        <v>-94.72</v>
      </c>
      <c r="D50" s="8" t="s">
        <v>71</v>
      </c>
      <c r="E50" s="8" t="s">
        <v>288</v>
      </c>
      <c r="F50" s="8"/>
    </row>
    <row r="51" customFormat="false" ht="15" hidden="false" customHeight="false" outlineLevel="0" collapsed="false">
      <c r="A51" s="8" t="s">
        <v>185</v>
      </c>
      <c r="B51" s="8" t="s">
        <v>186</v>
      </c>
      <c r="C51" s="9" t="n">
        <v>-12.27</v>
      </c>
      <c r="D51" s="8" t="s">
        <v>65</v>
      </c>
      <c r="E51" s="8" t="s">
        <v>288</v>
      </c>
      <c r="F51" s="8"/>
    </row>
    <row r="52" customFormat="false" ht="15" hidden="false" customHeight="false" outlineLevel="0" collapsed="false">
      <c r="A52" s="8" t="s">
        <v>191</v>
      </c>
      <c r="B52" s="8" t="s">
        <v>88</v>
      </c>
      <c r="C52" s="9" t="n">
        <v>-248.35</v>
      </c>
      <c r="D52" s="8" t="s">
        <v>71</v>
      </c>
      <c r="E52" s="8" t="s">
        <v>288</v>
      </c>
      <c r="F52" s="8"/>
    </row>
    <row r="53" customFormat="false" ht="15" hidden="false" customHeight="false" outlineLevel="0" collapsed="false">
      <c r="A53" s="8" t="s">
        <v>191</v>
      </c>
      <c r="B53" s="8" t="s">
        <v>192</v>
      </c>
      <c r="C53" s="9" t="n">
        <v>-3650</v>
      </c>
      <c r="D53" s="8" t="s">
        <v>65</v>
      </c>
      <c r="E53" s="8" t="s">
        <v>288</v>
      </c>
      <c r="F53" s="8"/>
    </row>
    <row r="54" customFormat="false" ht="15" hidden="false" customHeight="false" outlineLevel="0" collapsed="false">
      <c r="A54" s="8" t="s">
        <v>191</v>
      </c>
      <c r="B54" s="8" t="s">
        <v>86</v>
      </c>
      <c r="C54" s="9" t="n">
        <v>-1783.71</v>
      </c>
      <c r="D54" s="8" t="s">
        <v>71</v>
      </c>
      <c r="E54" s="8" t="s">
        <v>288</v>
      </c>
      <c r="F54" s="8"/>
    </row>
    <row r="55" customFormat="false" ht="15" hidden="false" customHeight="false" outlineLevel="0" collapsed="false">
      <c r="A55" s="8" t="s">
        <v>194</v>
      </c>
      <c r="B55" s="8" t="s">
        <v>148</v>
      </c>
      <c r="C55" s="9" t="n">
        <v>-18.47</v>
      </c>
      <c r="D55" s="8" t="s">
        <v>100</v>
      </c>
      <c r="E55" s="8" t="s">
        <v>288</v>
      </c>
      <c r="F55" s="8"/>
    </row>
    <row r="56" customFormat="false" ht="15" hidden="false" customHeight="false" outlineLevel="0" collapsed="false">
      <c r="A56" s="8" t="s">
        <v>198</v>
      </c>
      <c r="B56" s="8" t="s">
        <v>287</v>
      </c>
      <c r="C56" s="9" t="n">
        <v>-75.9</v>
      </c>
      <c r="D56" s="8" t="s">
        <v>65</v>
      </c>
      <c r="E56" s="8" t="s">
        <v>288</v>
      </c>
      <c r="F56" s="8"/>
    </row>
    <row r="57" customFormat="false" ht="15" hidden="false" customHeight="false" outlineLevel="0" collapsed="false">
      <c r="A57" s="8" t="s">
        <v>198</v>
      </c>
      <c r="B57" s="8" t="s">
        <v>70</v>
      </c>
      <c r="C57" s="9" t="n">
        <v>-2.42</v>
      </c>
      <c r="D57" s="8" t="s">
        <v>71</v>
      </c>
      <c r="E57" s="8" t="s">
        <v>288</v>
      </c>
      <c r="F57" s="8"/>
    </row>
    <row r="58" customFormat="false" ht="15" hidden="false" customHeight="false" outlineLevel="0" collapsed="false">
      <c r="A58" s="8" t="s">
        <v>198</v>
      </c>
      <c r="B58" s="8" t="s">
        <v>199</v>
      </c>
      <c r="C58" s="9" t="n">
        <v>-22.29</v>
      </c>
      <c r="D58" s="8" t="s">
        <v>65</v>
      </c>
      <c r="E58" s="8" t="s">
        <v>288</v>
      </c>
      <c r="F58" s="8"/>
    </row>
    <row r="59" customFormat="false" ht="15" hidden="false" customHeight="false" outlineLevel="0" collapsed="false">
      <c r="A59" s="8" t="s">
        <v>200</v>
      </c>
      <c r="B59" s="8" t="s">
        <v>201</v>
      </c>
      <c r="C59" s="9" t="n">
        <v>-8637.91</v>
      </c>
      <c r="D59" s="8" t="s">
        <v>203</v>
      </c>
      <c r="E59" s="8" t="s">
        <v>288</v>
      </c>
      <c r="F59" s="8"/>
    </row>
    <row r="60" customFormat="false" ht="15" hidden="false" customHeight="false" outlineLevel="0" collapsed="false">
      <c r="A60" s="8" t="s">
        <v>210</v>
      </c>
      <c r="B60" s="8" t="s">
        <v>99</v>
      </c>
      <c r="C60" s="9" t="n">
        <v>-35</v>
      </c>
      <c r="D60" s="8" t="s">
        <v>100</v>
      </c>
      <c r="E60" s="8" t="s">
        <v>288</v>
      </c>
      <c r="F60" s="8"/>
    </row>
    <row r="61" customFormat="false" ht="15" hidden="false" customHeight="false" outlineLevel="0" collapsed="false">
      <c r="A61" s="8" t="s">
        <v>210</v>
      </c>
      <c r="B61" s="8" t="s">
        <v>86</v>
      </c>
      <c r="C61" s="9" t="n">
        <v>-110.77</v>
      </c>
      <c r="D61" s="8" t="s">
        <v>71</v>
      </c>
      <c r="E61" s="8" t="s">
        <v>288</v>
      </c>
      <c r="F61" s="8"/>
    </row>
    <row r="62" customFormat="false" ht="15" hidden="false" customHeight="false" outlineLevel="0" collapsed="false">
      <c r="A62" s="8" t="s">
        <v>210</v>
      </c>
      <c r="B62" s="8" t="s">
        <v>107</v>
      </c>
      <c r="C62" s="9" t="n">
        <v>-2361.28</v>
      </c>
      <c r="D62" s="8" t="s">
        <v>71</v>
      </c>
      <c r="E62" s="8" t="s">
        <v>288</v>
      </c>
      <c r="F62" s="8"/>
    </row>
    <row r="63" customFormat="false" ht="15" hidden="false" customHeight="false" outlineLevel="0" collapsed="false">
      <c r="A63" s="8" t="s">
        <v>210</v>
      </c>
      <c r="B63" s="8" t="s">
        <v>88</v>
      </c>
      <c r="C63" s="9" t="n">
        <v>-472.21</v>
      </c>
      <c r="D63" s="8" t="s">
        <v>71</v>
      </c>
      <c r="E63" s="8" t="s">
        <v>288</v>
      </c>
      <c r="F63" s="8"/>
    </row>
    <row r="64" customFormat="false" ht="15" hidden="false" customHeight="false" outlineLevel="0" collapsed="false">
      <c r="A64" s="8" t="s">
        <v>210</v>
      </c>
      <c r="B64" s="8" t="s">
        <v>86</v>
      </c>
      <c r="C64" s="9" t="n">
        <v>-3135</v>
      </c>
      <c r="D64" s="8" t="s">
        <v>71</v>
      </c>
      <c r="E64" s="8" t="s">
        <v>288</v>
      </c>
      <c r="F64" s="8"/>
    </row>
    <row r="65" customFormat="false" ht="15" hidden="false" customHeight="false" outlineLevel="0" collapsed="false">
      <c r="A65" s="8" t="s">
        <v>210</v>
      </c>
      <c r="B65" s="8" t="s">
        <v>86</v>
      </c>
      <c r="C65" s="9" t="n">
        <v>-261.03</v>
      </c>
      <c r="D65" s="8" t="s">
        <v>71</v>
      </c>
      <c r="E65" s="8" t="s">
        <v>288</v>
      </c>
      <c r="F65" s="8"/>
    </row>
    <row r="66" customFormat="false" ht="15" hidden="false" customHeight="false" outlineLevel="0" collapsed="false">
      <c r="A66" s="8" t="s">
        <v>210</v>
      </c>
      <c r="B66" s="8" t="s">
        <v>86</v>
      </c>
      <c r="C66" s="9" t="n">
        <v>-364.57</v>
      </c>
      <c r="D66" s="8" t="s">
        <v>71</v>
      </c>
      <c r="E66" s="8" t="s">
        <v>288</v>
      </c>
      <c r="F66" s="8"/>
    </row>
    <row r="67" customFormat="false" ht="15" hidden="false" customHeight="false" outlineLevel="0" collapsed="false">
      <c r="A67" s="8" t="s">
        <v>210</v>
      </c>
      <c r="B67" s="8" t="s">
        <v>104</v>
      </c>
      <c r="C67" s="9" t="n">
        <v>-41.33</v>
      </c>
      <c r="D67" s="8" t="s">
        <v>65</v>
      </c>
      <c r="E67" s="8" t="s">
        <v>288</v>
      </c>
      <c r="F67" s="8"/>
    </row>
    <row r="68" customFormat="false" ht="15" hidden="false" customHeight="false" outlineLevel="0" collapsed="false">
      <c r="A68" s="8" t="s">
        <v>212</v>
      </c>
      <c r="B68" s="8" t="s">
        <v>213</v>
      </c>
      <c r="C68" s="9" t="n">
        <v>-136.02</v>
      </c>
      <c r="D68" s="8" t="s">
        <v>65</v>
      </c>
      <c r="E68" s="8" t="s">
        <v>288</v>
      </c>
      <c r="F68" s="8"/>
    </row>
    <row r="69" customFormat="false" ht="15" hidden="false" customHeight="false" outlineLevel="0" collapsed="false">
      <c r="A69" s="8" t="s">
        <v>214</v>
      </c>
      <c r="B69" s="8" t="s">
        <v>109</v>
      </c>
      <c r="C69" s="9" t="n">
        <v>-61.21</v>
      </c>
      <c r="D69" s="8" t="s">
        <v>80</v>
      </c>
      <c r="E69" s="8" t="s">
        <v>288</v>
      </c>
      <c r="F69" s="8"/>
    </row>
    <row r="70" customFormat="false" ht="15" hidden="false" customHeight="false" outlineLevel="0" collapsed="false">
      <c r="A70" s="8" t="s">
        <v>216</v>
      </c>
      <c r="B70" s="8" t="s">
        <v>299</v>
      </c>
      <c r="C70" s="9" t="n">
        <v>-121.5</v>
      </c>
      <c r="D70" s="8" t="s">
        <v>138</v>
      </c>
      <c r="E70" s="8" t="s">
        <v>288</v>
      </c>
      <c r="F70" s="8"/>
    </row>
    <row r="71" customFormat="false" ht="15" hidden="false" customHeight="false" outlineLevel="0" collapsed="false">
      <c r="A71" s="8" t="s">
        <v>223</v>
      </c>
      <c r="B71" s="8" t="s">
        <v>300</v>
      </c>
      <c r="C71" s="9" t="n">
        <v>-8.1</v>
      </c>
      <c r="D71" s="8" t="s">
        <v>138</v>
      </c>
      <c r="E71" s="8" t="s">
        <v>288</v>
      </c>
      <c r="F71" s="8"/>
    </row>
    <row r="72" customFormat="false" ht="15" hidden="false" customHeight="false" outlineLevel="0" collapsed="false">
      <c r="A72" s="8" t="s">
        <v>223</v>
      </c>
      <c r="B72" s="8" t="s">
        <v>301</v>
      </c>
      <c r="C72" s="9" t="n">
        <v>-148</v>
      </c>
      <c r="D72" s="8" t="s">
        <v>92</v>
      </c>
      <c r="E72" s="8" t="s">
        <v>288</v>
      </c>
      <c r="F72" s="8"/>
    </row>
    <row r="73" customFormat="false" ht="15" hidden="false" customHeight="false" outlineLevel="0" collapsed="false">
      <c r="A73" s="8" t="s">
        <v>223</v>
      </c>
      <c r="B73" s="8" t="s">
        <v>289</v>
      </c>
      <c r="C73" s="9" t="n">
        <v>-72</v>
      </c>
      <c r="D73" s="8" t="s">
        <v>80</v>
      </c>
      <c r="E73" s="8" t="s">
        <v>288</v>
      </c>
      <c r="F73" s="8"/>
    </row>
    <row r="74" customFormat="false" ht="15" hidden="false" customHeight="false" outlineLevel="0" collapsed="false">
      <c r="A74" s="8" t="s">
        <v>230</v>
      </c>
      <c r="B74" s="8" t="s">
        <v>148</v>
      </c>
      <c r="C74" s="9" t="n">
        <v>-18.47</v>
      </c>
      <c r="D74" s="8" t="s">
        <v>100</v>
      </c>
      <c r="E74" s="8" t="s">
        <v>288</v>
      </c>
      <c r="F74" s="8"/>
    </row>
    <row r="75" customFormat="false" ht="15" hidden="false" customHeight="false" outlineLevel="0" collapsed="false">
      <c r="A75" s="8" t="s">
        <v>232</v>
      </c>
      <c r="B75" s="8" t="s">
        <v>88</v>
      </c>
      <c r="C75" s="9" t="n">
        <v>-218.55</v>
      </c>
      <c r="D75" s="8" t="s">
        <v>71</v>
      </c>
      <c r="E75" s="8" t="s">
        <v>288</v>
      </c>
      <c r="F75" s="8"/>
    </row>
    <row r="76" customFormat="false" ht="15" hidden="false" customHeight="false" outlineLevel="0" collapsed="false">
      <c r="A76" s="8" t="s">
        <v>232</v>
      </c>
      <c r="B76" s="8" t="s">
        <v>88</v>
      </c>
      <c r="C76" s="9" t="n">
        <v>-437.1</v>
      </c>
      <c r="D76" s="8" t="s">
        <v>71</v>
      </c>
      <c r="E76" s="8" t="s">
        <v>288</v>
      </c>
      <c r="F76" s="8"/>
    </row>
    <row r="77" customFormat="false" ht="15" hidden="false" customHeight="false" outlineLevel="0" collapsed="false">
      <c r="A77" s="8" t="s">
        <v>232</v>
      </c>
      <c r="B77" s="8" t="s">
        <v>84</v>
      </c>
      <c r="C77" s="9" t="n">
        <v>-242</v>
      </c>
      <c r="D77" s="8" t="s">
        <v>71</v>
      </c>
      <c r="E77" s="8" t="s">
        <v>288</v>
      </c>
      <c r="F77" s="8"/>
    </row>
    <row r="78" customFormat="false" ht="15" hidden="false" customHeight="false" outlineLevel="0" collapsed="false">
      <c r="A78" s="8" t="s">
        <v>232</v>
      </c>
      <c r="B78" s="8" t="s">
        <v>233</v>
      </c>
      <c r="C78" s="9" t="n">
        <v>-6.78</v>
      </c>
      <c r="D78" s="8" t="s">
        <v>71</v>
      </c>
      <c r="E78" s="8" t="s">
        <v>288</v>
      </c>
      <c r="F78" s="8"/>
    </row>
    <row r="79" customFormat="false" ht="15" hidden="false" customHeight="false" outlineLevel="0" collapsed="false">
      <c r="A79" s="8" t="s">
        <v>232</v>
      </c>
      <c r="B79" s="8" t="s">
        <v>86</v>
      </c>
      <c r="C79" s="9" t="n">
        <v>-3251.79</v>
      </c>
      <c r="D79" s="8" t="s">
        <v>71</v>
      </c>
      <c r="E79" s="8" t="s">
        <v>288</v>
      </c>
      <c r="F79" s="8"/>
    </row>
    <row r="80" customFormat="false" ht="15" hidden="false" customHeight="false" outlineLevel="0" collapsed="false">
      <c r="A80" s="8" t="s">
        <v>232</v>
      </c>
      <c r="B80" s="8" t="s">
        <v>88</v>
      </c>
      <c r="C80" s="9" t="n">
        <v>-238.42</v>
      </c>
      <c r="D80" s="8" t="s">
        <v>71</v>
      </c>
      <c r="E80" s="8" t="s">
        <v>288</v>
      </c>
      <c r="F80" s="8"/>
    </row>
    <row r="81" customFormat="false" ht="15" hidden="false" customHeight="false" outlineLevel="0" collapsed="false">
      <c r="A81" s="8" t="s">
        <v>61</v>
      </c>
      <c r="B81" s="8" t="s">
        <v>302</v>
      </c>
      <c r="C81" s="9" t="n">
        <v>-800</v>
      </c>
      <c r="D81" s="8" t="s">
        <v>65</v>
      </c>
      <c r="E81" s="8" t="s">
        <v>303</v>
      </c>
      <c r="F81" s="8" t="s">
        <v>304</v>
      </c>
    </row>
    <row r="82" customFormat="false" ht="15" hidden="false" customHeight="false" outlineLevel="0" collapsed="false">
      <c r="A82" s="8" t="s">
        <v>95</v>
      </c>
      <c r="B82" s="8" t="s">
        <v>305</v>
      </c>
      <c r="C82" s="9" t="n">
        <v>-800</v>
      </c>
      <c r="D82" s="8" t="s">
        <v>65</v>
      </c>
      <c r="E82" s="8" t="s">
        <v>303</v>
      </c>
      <c r="F82" s="8" t="s">
        <v>306</v>
      </c>
    </row>
    <row r="83" customFormat="false" ht="15" hidden="false" customHeight="false" outlineLevel="0" collapsed="false">
      <c r="A83" s="8" t="s">
        <v>97</v>
      </c>
      <c r="B83" s="8" t="s">
        <v>307</v>
      </c>
      <c r="C83" s="9" t="n">
        <v>-278.57</v>
      </c>
      <c r="D83" s="8" t="s">
        <v>65</v>
      </c>
      <c r="E83" s="8" t="s">
        <v>303</v>
      </c>
      <c r="F83" s="8" t="s">
        <v>308</v>
      </c>
    </row>
    <row r="84" customFormat="false" ht="15" hidden="false" customHeight="false" outlineLevel="0" collapsed="false">
      <c r="A84" s="8" t="s">
        <v>113</v>
      </c>
      <c r="B84" s="8" t="s">
        <v>309</v>
      </c>
      <c r="C84" s="9" t="n">
        <v>-800</v>
      </c>
      <c r="D84" s="8" t="s">
        <v>65</v>
      </c>
      <c r="E84" s="8" t="s">
        <v>303</v>
      </c>
      <c r="F84" s="8" t="s">
        <v>310</v>
      </c>
    </row>
    <row r="85" customFormat="false" ht="15" hidden="false" customHeight="false" outlineLevel="0" collapsed="false">
      <c r="A85" s="8" t="s">
        <v>125</v>
      </c>
      <c r="B85" s="8" t="s">
        <v>311</v>
      </c>
      <c r="C85" s="9" t="n">
        <v>-800</v>
      </c>
      <c r="D85" s="8" t="s">
        <v>65</v>
      </c>
      <c r="E85" s="8" t="s">
        <v>303</v>
      </c>
      <c r="F85" s="8" t="s">
        <v>312</v>
      </c>
    </row>
    <row r="86" customFormat="false" ht="15" hidden="false" customHeight="false" outlineLevel="0" collapsed="false">
      <c r="A86" s="8" t="s">
        <v>141</v>
      </c>
      <c r="B86" s="8" t="s">
        <v>313</v>
      </c>
      <c r="C86" s="9" t="n">
        <v>-800</v>
      </c>
      <c r="D86" s="8" t="s">
        <v>65</v>
      </c>
      <c r="E86" s="8" t="s">
        <v>303</v>
      </c>
      <c r="F86" s="8" t="s">
        <v>314</v>
      </c>
    </row>
    <row r="87" customFormat="false" ht="15" hidden="false" customHeight="false" outlineLevel="0" collapsed="false">
      <c r="A87" s="8" t="s">
        <v>155</v>
      </c>
      <c r="B87" s="8" t="s">
        <v>315</v>
      </c>
      <c r="C87" s="9" t="n">
        <v>-800</v>
      </c>
      <c r="D87" s="8" t="s">
        <v>65</v>
      </c>
      <c r="E87" s="8" t="s">
        <v>303</v>
      </c>
      <c r="F87" s="8" t="s">
        <v>316</v>
      </c>
    </row>
    <row r="88" customFormat="false" ht="15" hidden="false" customHeight="false" outlineLevel="0" collapsed="false">
      <c r="A88" s="8" t="s">
        <v>158</v>
      </c>
      <c r="B88" s="8" t="s">
        <v>317</v>
      </c>
      <c r="C88" s="9" t="n">
        <v>-800</v>
      </c>
      <c r="D88" s="8" t="s">
        <v>65</v>
      </c>
      <c r="E88" s="8" t="s">
        <v>303</v>
      </c>
      <c r="F88" s="8" t="s">
        <v>318</v>
      </c>
    </row>
    <row r="89" customFormat="false" ht="15" hidden="false" customHeight="false" outlineLevel="0" collapsed="false">
      <c r="A89" s="8" t="s">
        <v>161</v>
      </c>
      <c r="B89" s="8" t="s">
        <v>319</v>
      </c>
      <c r="C89" s="9" t="n">
        <v>-800</v>
      </c>
      <c r="D89" s="8" t="s">
        <v>65</v>
      </c>
      <c r="E89" s="8" t="s">
        <v>303</v>
      </c>
      <c r="F89" s="8" t="s">
        <v>320</v>
      </c>
    </row>
    <row r="90" customFormat="false" ht="15" hidden="false" customHeight="false" outlineLevel="0" collapsed="false">
      <c r="A90" s="8" t="s">
        <v>166</v>
      </c>
      <c r="B90" s="8" t="s">
        <v>321</v>
      </c>
      <c r="C90" s="9" t="n">
        <v>-757.53</v>
      </c>
      <c r="D90" s="8" t="s">
        <v>65</v>
      </c>
      <c r="E90" s="8" t="s">
        <v>303</v>
      </c>
      <c r="F90" s="8" t="s">
        <v>322</v>
      </c>
    </row>
    <row r="91" customFormat="false" ht="15" hidden="false" customHeight="false" outlineLevel="0" collapsed="false">
      <c r="A91" s="8" t="s">
        <v>169</v>
      </c>
      <c r="B91" s="8" t="s">
        <v>323</v>
      </c>
      <c r="C91" s="9" t="n">
        <v>-800</v>
      </c>
      <c r="D91" s="8" t="s">
        <v>65</v>
      </c>
      <c r="E91" s="8" t="s">
        <v>303</v>
      </c>
      <c r="F91" s="8" t="s">
        <v>324</v>
      </c>
    </row>
    <row r="92" customFormat="false" ht="15" hidden="false" customHeight="false" outlineLevel="0" collapsed="false">
      <c r="A92" s="8" t="s">
        <v>178</v>
      </c>
      <c r="B92" s="8" t="s">
        <v>179</v>
      </c>
      <c r="C92" s="9" t="n">
        <v>-800</v>
      </c>
      <c r="D92" s="8" t="s">
        <v>65</v>
      </c>
      <c r="E92" s="8" t="s">
        <v>303</v>
      </c>
      <c r="F92" s="8" t="s">
        <v>325</v>
      </c>
    </row>
    <row r="93" customFormat="false" ht="15" hidden="false" customHeight="false" outlineLevel="0" collapsed="false">
      <c r="A93" s="8" t="s">
        <v>181</v>
      </c>
      <c r="B93" s="8" t="s">
        <v>326</v>
      </c>
      <c r="C93" s="9" t="n">
        <v>-800</v>
      </c>
      <c r="D93" s="8" t="s">
        <v>65</v>
      </c>
      <c r="E93" s="8" t="s">
        <v>303</v>
      </c>
      <c r="F93" s="8" t="s">
        <v>327</v>
      </c>
    </row>
    <row r="94" customFormat="false" ht="15" hidden="false" customHeight="false" outlineLevel="0" collapsed="false">
      <c r="A94" s="8" t="s">
        <v>187</v>
      </c>
      <c r="B94" s="8" t="s">
        <v>328</v>
      </c>
      <c r="C94" s="9" t="n">
        <v>-800</v>
      </c>
      <c r="D94" s="8" t="s">
        <v>65</v>
      </c>
      <c r="E94" s="8" t="s">
        <v>303</v>
      </c>
      <c r="F94" s="8" t="s">
        <v>329</v>
      </c>
    </row>
    <row r="95" customFormat="false" ht="15" hidden="false" customHeight="false" outlineLevel="0" collapsed="false">
      <c r="A95" s="8" t="s">
        <v>189</v>
      </c>
      <c r="B95" s="8" t="s">
        <v>330</v>
      </c>
      <c r="C95" s="9" t="n">
        <v>-800</v>
      </c>
      <c r="D95" s="8" t="s">
        <v>65</v>
      </c>
      <c r="E95" s="8" t="s">
        <v>303</v>
      </c>
      <c r="F95" s="8" t="s">
        <v>331</v>
      </c>
    </row>
    <row r="96" customFormat="false" ht="15" hidden="false" customHeight="false" outlineLevel="0" collapsed="false">
      <c r="A96" s="8" t="s">
        <v>194</v>
      </c>
      <c r="B96" s="8" t="s">
        <v>332</v>
      </c>
      <c r="C96" s="9" t="n">
        <v>-800</v>
      </c>
      <c r="D96" s="8" t="s">
        <v>65</v>
      </c>
      <c r="E96" s="8" t="s">
        <v>303</v>
      </c>
      <c r="F96" s="8" t="s">
        <v>333</v>
      </c>
    </row>
    <row r="97" customFormat="false" ht="15" hidden="false" customHeight="false" outlineLevel="0" collapsed="false">
      <c r="A97" s="8" t="s">
        <v>196</v>
      </c>
      <c r="B97" s="8" t="s">
        <v>334</v>
      </c>
      <c r="C97" s="9" t="n">
        <v>-800</v>
      </c>
      <c r="D97" s="8" t="s">
        <v>65</v>
      </c>
      <c r="E97" s="8" t="s">
        <v>303</v>
      </c>
      <c r="F97" s="8" t="s">
        <v>335</v>
      </c>
    </row>
    <row r="98" customFormat="false" ht="15" hidden="false" customHeight="false" outlineLevel="0" collapsed="false">
      <c r="A98" s="8" t="s">
        <v>206</v>
      </c>
      <c r="B98" s="8" t="s">
        <v>336</v>
      </c>
      <c r="C98" s="9" t="n">
        <v>-800</v>
      </c>
      <c r="D98" s="8" t="s">
        <v>65</v>
      </c>
      <c r="E98" s="8" t="s">
        <v>303</v>
      </c>
      <c r="F98" s="8" t="s">
        <v>337</v>
      </c>
    </row>
    <row r="99" customFormat="false" ht="15" hidden="false" customHeight="false" outlineLevel="0" collapsed="false">
      <c r="A99" s="8" t="s">
        <v>208</v>
      </c>
      <c r="B99" s="8" t="s">
        <v>338</v>
      </c>
      <c r="C99" s="9" t="n">
        <v>-800</v>
      </c>
      <c r="D99" s="8" t="s">
        <v>65</v>
      </c>
      <c r="E99" s="8" t="s">
        <v>303</v>
      </c>
      <c r="F99" s="8" t="s">
        <v>339</v>
      </c>
    </row>
    <row r="100" customFormat="false" ht="15" hidden="false" customHeight="false" outlineLevel="0" collapsed="false">
      <c r="A100" s="8" t="s">
        <v>210</v>
      </c>
      <c r="B100" s="8" t="s">
        <v>340</v>
      </c>
      <c r="C100" s="9" t="n">
        <v>-555.08</v>
      </c>
      <c r="D100" s="8" t="s">
        <v>65</v>
      </c>
      <c r="E100" s="8" t="s">
        <v>303</v>
      </c>
      <c r="F100" s="8" t="s">
        <v>341</v>
      </c>
    </row>
    <row r="101" customFormat="false" ht="15" hidden="false" customHeight="false" outlineLevel="0" collapsed="false">
      <c r="A101" s="8" t="s">
        <v>214</v>
      </c>
      <c r="B101" s="8" t="s">
        <v>342</v>
      </c>
      <c r="C101" s="9" t="n">
        <v>-800</v>
      </c>
      <c r="D101" s="8" t="s">
        <v>65</v>
      </c>
      <c r="E101" s="8" t="s">
        <v>303</v>
      </c>
      <c r="F101" s="8" t="s">
        <v>343</v>
      </c>
    </row>
    <row r="102" customFormat="false" ht="15" hidden="false" customHeight="false" outlineLevel="0" collapsed="false">
      <c r="A102" s="8" t="s">
        <v>218</v>
      </c>
      <c r="B102" s="8" t="s">
        <v>344</v>
      </c>
      <c r="C102" s="9" t="n">
        <v>-800</v>
      </c>
      <c r="D102" s="8" t="s">
        <v>65</v>
      </c>
      <c r="E102" s="8" t="s">
        <v>303</v>
      </c>
      <c r="F102" s="8" t="s">
        <v>345</v>
      </c>
    </row>
    <row r="103" customFormat="false" ht="15" hidden="false" customHeight="false" outlineLevel="0" collapsed="false">
      <c r="A103" s="8" t="s">
        <v>221</v>
      </c>
      <c r="B103" s="8" t="s">
        <v>346</v>
      </c>
      <c r="C103" s="9" t="n">
        <v>-800</v>
      </c>
      <c r="D103" s="8" t="s">
        <v>65</v>
      </c>
      <c r="E103" s="8" t="s">
        <v>303</v>
      </c>
      <c r="F103" s="8" t="s">
        <v>347</v>
      </c>
    </row>
    <row r="104" customFormat="false" ht="15" hidden="false" customHeight="false" outlineLevel="0" collapsed="false">
      <c r="A104" s="8" t="s">
        <v>223</v>
      </c>
      <c r="B104" s="8" t="s">
        <v>348</v>
      </c>
      <c r="C104" s="9" t="n">
        <v>-800</v>
      </c>
      <c r="D104" s="8" t="s">
        <v>65</v>
      </c>
      <c r="E104" s="8" t="s">
        <v>303</v>
      </c>
      <c r="F104" s="8" t="s">
        <v>349</v>
      </c>
    </row>
    <row r="105" customFormat="false" ht="15" hidden="false" customHeight="false" outlineLevel="0" collapsed="false">
      <c r="A105" s="8" t="s">
        <v>228</v>
      </c>
      <c r="B105" s="8" t="s">
        <v>350</v>
      </c>
      <c r="C105" s="9" t="n">
        <v>-800</v>
      </c>
      <c r="D105" s="8" t="s">
        <v>65</v>
      </c>
      <c r="E105" s="8" t="s">
        <v>303</v>
      </c>
      <c r="F105" s="8" t="s">
        <v>351</v>
      </c>
    </row>
    <row r="106" customFormat="false" ht="15" hidden="false" customHeight="false" outlineLevel="0" collapsed="false">
      <c r="A106" s="8" t="s">
        <v>230</v>
      </c>
      <c r="B106" s="8" t="s">
        <v>352</v>
      </c>
      <c r="C106" s="9" t="n">
        <v>-800</v>
      </c>
      <c r="D106" s="8" t="s">
        <v>65</v>
      </c>
      <c r="E106" s="8" t="s">
        <v>303</v>
      </c>
      <c r="F106" s="8" t="s">
        <v>353</v>
      </c>
    </row>
    <row r="107" customFormat="false" ht="15" hidden="false" customHeight="false" outlineLevel="0" collapsed="false">
      <c r="A107" s="8" t="s">
        <v>237</v>
      </c>
      <c r="B107" s="8" t="s">
        <v>354</v>
      </c>
      <c r="C107" s="9" t="n">
        <v>-800</v>
      </c>
      <c r="D107" s="8" t="s">
        <v>65</v>
      </c>
      <c r="E107" s="8" t="s">
        <v>303</v>
      </c>
      <c r="F107" s="8" t="s">
        <v>355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3"/>
    <col collapsed="false" customWidth="true" hidden="false" outlineLevel="0" max="6" min="6" style="0" width="80"/>
  </cols>
  <sheetData>
    <row r="1" customFormat="false" ht="15" hidden="false" customHeight="false" outlineLevel="0" collapsed="false">
      <c r="A1" s="6" t="s">
        <v>356</v>
      </c>
    </row>
    <row r="3" customFormat="false" ht="26.85" hidden="false" customHeight="false" outlineLevel="0" collapsed="false">
      <c r="A3" s="7" t="s">
        <v>357</v>
      </c>
      <c r="B3" s="7" t="s">
        <v>358</v>
      </c>
      <c r="C3" s="7" t="s">
        <v>359</v>
      </c>
      <c r="D3" s="7" t="s">
        <v>360</v>
      </c>
      <c r="E3" s="7" t="s">
        <v>361</v>
      </c>
      <c r="F3" s="7" t="s">
        <v>362</v>
      </c>
    </row>
    <row r="4" customFormat="false" ht="15" hidden="false" customHeight="false" outlineLevel="0" collapsed="false">
      <c r="A4" s="8" t="s">
        <v>363</v>
      </c>
      <c r="B4" s="9" t="n">
        <v>19947</v>
      </c>
      <c r="C4" s="9" t="n">
        <v>2098.14</v>
      </c>
      <c r="D4" s="9" t="n">
        <v>17848.86</v>
      </c>
      <c r="E4" s="9" t="n">
        <v>451.19</v>
      </c>
      <c r="F4" s="8" t="s">
        <v>364</v>
      </c>
    </row>
    <row r="5" customFormat="false" ht="15" hidden="false" customHeight="false" outlineLevel="0" collapsed="false">
      <c r="A5" s="8" t="s">
        <v>365</v>
      </c>
      <c r="B5" s="9" t="n">
        <v>11612.14</v>
      </c>
      <c r="C5" s="9" t="n">
        <v>1176.42</v>
      </c>
      <c r="D5" s="9" t="n">
        <v>10435.72</v>
      </c>
      <c r="E5" s="9" t="n">
        <v>0</v>
      </c>
      <c r="F5" s="8" t="s">
        <v>366</v>
      </c>
    </row>
    <row r="6" customFormat="false" ht="15" hidden="false" customHeight="false" outlineLevel="0" collapsed="false">
      <c r="A6" s="8" t="s">
        <v>367</v>
      </c>
      <c r="B6" s="9" t="n">
        <v>9000</v>
      </c>
      <c r="C6" s="9" t="n">
        <v>9000</v>
      </c>
      <c r="D6" s="9" t="n">
        <v>0</v>
      </c>
      <c r="E6" s="9" t="n">
        <v>0</v>
      </c>
      <c r="F6" s="8" t="s">
        <v>368</v>
      </c>
    </row>
    <row r="7" customFormat="false" ht="15" hidden="false" customHeight="false" outlineLevel="0" collapsed="false">
      <c r="A7" s="8" t="s">
        <v>369</v>
      </c>
      <c r="B7" s="9" t="n">
        <v>14000</v>
      </c>
      <c r="C7" s="9" t="n">
        <v>0</v>
      </c>
      <c r="D7" s="9" t="n">
        <v>14000</v>
      </c>
      <c r="E7" s="9" t="n">
        <v>0</v>
      </c>
      <c r="F7" s="8" t="s">
        <v>370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60"/>
  </cols>
  <sheetData>
    <row r="1" customFormat="false" ht="15" hidden="false" customHeight="false" outlineLevel="0" collapsed="false">
      <c r="A1" s="6" t="s">
        <v>371</v>
      </c>
    </row>
    <row r="3" customFormat="false" ht="15" hidden="false" customHeight="false" outlineLevel="0" collapsed="false">
      <c r="A3" s="6" t="s">
        <v>372</v>
      </c>
    </row>
    <row r="4" customFormat="false" ht="15" hidden="false" customHeight="false" outlineLevel="0" collapsed="false">
      <c r="A4" s="2" t="s">
        <v>23</v>
      </c>
      <c r="B4" s="10" t="n">
        <v>746.62</v>
      </c>
    </row>
    <row r="5" customFormat="false" ht="15" hidden="false" customHeight="false" outlineLevel="0" collapsed="false">
      <c r="A5" s="2" t="s">
        <v>25</v>
      </c>
      <c r="B5" s="10" t="n">
        <v>1712</v>
      </c>
    </row>
    <row r="6" customFormat="false" ht="15" hidden="false" customHeight="false" outlineLevel="0" collapsed="false">
      <c r="A6" s="2" t="s">
        <v>373</v>
      </c>
      <c r="B6" s="10" t="n">
        <v>24.79</v>
      </c>
    </row>
    <row r="7" customFormat="false" ht="15" hidden="false" customHeight="false" outlineLevel="0" collapsed="false">
      <c r="A7" s="6" t="s">
        <v>374</v>
      </c>
      <c r="B7" s="4" t="n">
        <f aca="false">SUM(B4:B6)</f>
        <v>2483.41</v>
      </c>
      <c r="C7" s="2" t="str">
        <f aca="false">IF(B7&gt;10000,"DREMPEL OVERSCHREDEN: btw van het land van de klant via OSS","onder de drempel: Belgische btw")</f>
        <v>onder de drempel: Belgische btw</v>
      </c>
    </row>
    <row r="9" customFormat="false" ht="15" hidden="false" customHeight="false" outlineLevel="0" collapsed="false">
      <c r="A9" s="6" t="s">
        <v>375</v>
      </c>
    </row>
    <row r="10" customFormat="false" ht="15" hidden="false" customHeight="false" outlineLevel="0" collapsed="false">
      <c r="A10" s="2" t="s">
        <v>23</v>
      </c>
      <c r="B10" s="10" t="n">
        <v>5627.66</v>
      </c>
    </row>
    <row r="11" customFormat="false" ht="15" hidden="false" customHeight="false" outlineLevel="0" collapsed="false">
      <c r="A11" s="2" t="s">
        <v>25</v>
      </c>
      <c r="B11" s="10" t="n">
        <v>-88.16</v>
      </c>
    </row>
    <row r="12" customFormat="false" ht="15" hidden="false" customHeight="false" outlineLevel="0" collapsed="false">
      <c r="A12" s="2" t="s">
        <v>26</v>
      </c>
      <c r="B12" s="10" t="n">
        <v>117.54</v>
      </c>
    </row>
    <row r="13" customFormat="false" ht="15" hidden="false" customHeight="false" outlineLevel="0" collapsed="false">
      <c r="A13" s="6" t="s">
        <v>374</v>
      </c>
      <c r="B13" s="4" t="n">
        <f aca="false">SUM(B10:B12)</f>
        <v>5657.04</v>
      </c>
      <c r="C13" s="2" t="str">
        <f aca="false">IF(B13&gt;10000,"DREMPEL OVERSCHREDEN: btw van het land van de klant via OSS","onder de drempel: Belgische btw")</f>
        <v>onder de drempel: Belgische btw</v>
      </c>
    </row>
    <row r="15" customFormat="false" ht="15" hidden="false" customHeight="false" outlineLevel="0" collapsed="false">
      <c r="A15" s="5" t="s">
        <v>376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2026-10-25T17:06:21Z</dcterms:created>
  <dc:creator>openpyxl</dc:creator>
  <dc:description/>
  <dc:language>en-US</dc:language>
  <cp:lastModifiedBy/>
  <dcterms:modified xsi:type="dcterms:W3CDTF">2026-10-25T17:06:22Z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